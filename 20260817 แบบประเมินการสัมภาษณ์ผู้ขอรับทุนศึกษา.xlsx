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drawings/drawing2.xml" ContentType="application/vnd.openxmlformats-officedocument.drawing+xml"/>
  <Override PartName="/xl/ctrlProps/ctrlProp3.xml" ContentType="application/vnd.ms-excel.controlproperties+xml"/>
  <Override PartName="/xl/ctrlProps/ctrlProp4.xml" ContentType="application/vnd.ms-excel.controlproperties+xml"/>
  <Override PartName="/xl/drawings/drawing3.xml" ContentType="application/vnd.openxmlformats-officedocument.drawing+xml"/>
  <Override PartName="/xl/ctrlProps/ctrlProp5.xml" ContentType="application/vnd.ms-excel.controlproperties+xml"/>
  <Override PartName="/xl/ctrlProps/ctrlProp6.xml" ContentType="application/vnd.ms-excel.controlproperties+xml"/>
  <Override PartName="/xl/drawings/drawing4.xml" ContentType="application/vnd.openxmlformats-officedocument.drawing+xml"/>
  <Override PartName="/xl/ctrlProps/ctrlProp7.xml" ContentType="application/vnd.ms-excel.controlproperties+xml"/>
  <Override PartName="/xl/ctrlProps/ctrlProp8.xml" ContentType="application/vnd.ms-excel.controlproperties+xml"/>
  <Override PartName="/xl/drawings/drawing5.xml" ContentType="application/vnd.openxmlformats-officedocument.drawing+xml"/>
  <Override PartName="/xl/ctrlProps/ctrlProp9.xml" ContentType="application/vnd.ms-excel.controlproperties+xml"/>
  <Override PartName="/xl/ctrlProps/ctrlProp10.xml" ContentType="application/vnd.ms-excel.controlproperties+xml"/>
  <Override PartName="/xl/drawings/drawing6.xml" ContentType="application/vnd.openxmlformats-officedocument.drawing+xml"/>
  <Override PartName="/xl/ctrlProps/ctrlProp11.xml" ContentType="application/vnd.ms-excel.controlproperties+xml"/>
  <Override PartName="/xl/ctrlProps/ctrlProp12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afs365.sharepoint.com/sites/BAFS-HZ-BAFS-HOD/Shared Documents/BAFS-HOD/08_Scholarship/2026/#ประชุมคณะกรรมการทุนการศึกษา/ประชุมกรรมการทุนการศึกษา 3.2026/"/>
    </mc:Choice>
  </mc:AlternateContent>
  <xr:revisionPtr revIDLastSave="203" documentId="13_ncr:1_{404E8A2C-A105-4CF3-91AC-E238589C77FC}" xr6:coauthVersionLast="47" xr6:coauthVersionMax="47" xr10:uidLastSave="{1BF7835E-DD59-45B3-B45D-B77F48DB15AB}"/>
  <bookViews>
    <workbookView xWindow="22932" yWindow="-108" windowWidth="23256" windowHeight="12456" activeTab="5" xr2:uid="{E35B700E-1098-41CF-B845-99C3B006E40F}"/>
  </bookViews>
  <sheets>
    <sheet name="Summary" sheetId="2" r:id="rId1"/>
    <sheet name="EM" sheetId="6" r:id="rId2"/>
    <sheet name="MD-BPT" sheetId="7" r:id="rId3"/>
    <sheet name="MD TARCO" sheetId="4" r:id="rId4"/>
    <sheet name="MD-BPS" sheetId="9" r:id="rId5"/>
    <sheet name="HZ" sheetId="8" r:id="rId6"/>
    <sheet name="data" sheetId="5" state="hidden" r:id="rId7"/>
  </sheets>
  <definedNames>
    <definedName name="_xlnm.Print_Area" localSheetId="1">EM!$A$1:$I$36</definedName>
    <definedName name="_xlnm.Print_Area" localSheetId="5">HZ!$A$1:$I$36</definedName>
    <definedName name="_xlnm.Print_Area" localSheetId="3">'MD TARCO'!$A$1:$I$36</definedName>
    <definedName name="_xlnm.Print_Area" localSheetId="4">'MD-BPS'!$A$1:$I$36</definedName>
    <definedName name="_xlnm.Print_Area" localSheetId="2">'MD-BPT'!$A$1:$I$36</definedName>
    <definedName name="_xlnm.Print_Area" localSheetId="0">Summary!$A$1:$L$36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11" i="2" l="1"/>
  <c r="H14" i="2"/>
  <c r="H11" i="2"/>
  <c r="G16" i="9"/>
  <c r="H15" i="9"/>
  <c r="J16" i="2" s="1"/>
  <c r="H14" i="9"/>
  <c r="J15" i="2" s="1"/>
  <c r="H13" i="9"/>
  <c r="J14" i="2" s="1"/>
  <c r="H12" i="9"/>
  <c r="J13" i="2" s="1"/>
  <c r="H11" i="9"/>
  <c r="J12" i="2" s="1"/>
  <c r="H10" i="9"/>
  <c r="J11" i="2" s="1"/>
  <c r="G16" i="8"/>
  <c r="H15" i="8"/>
  <c r="K16" i="2" s="1"/>
  <c r="H14" i="8"/>
  <c r="K15" i="2" s="1"/>
  <c r="H13" i="8"/>
  <c r="K14" i="2" s="1"/>
  <c r="H12" i="8"/>
  <c r="K13" i="2" s="1"/>
  <c r="H11" i="8"/>
  <c r="H10" i="8"/>
  <c r="G16" i="7"/>
  <c r="H15" i="7"/>
  <c r="H16" i="2" s="1"/>
  <c r="H14" i="7"/>
  <c r="H15" i="2" s="1"/>
  <c r="H13" i="7"/>
  <c r="H12" i="7"/>
  <c r="H13" i="2" s="1"/>
  <c r="H11" i="7"/>
  <c r="H12" i="2" s="1"/>
  <c r="H10" i="7"/>
  <c r="G16" i="6"/>
  <c r="H15" i="6"/>
  <c r="G16" i="2" s="1"/>
  <c r="H14" i="6"/>
  <c r="G15" i="2" s="1"/>
  <c r="H13" i="6"/>
  <c r="G14" i="2" s="1"/>
  <c r="H12" i="6"/>
  <c r="G13" i="2" s="1"/>
  <c r="H11" i="6"/>
  <c r="G12" i="2" s="1"/>
  <c r="H10" i="6"/>
  <c r="I12" i="2"/>
  <c r="I17" i="2" s="1"/>
  <c r="I13" i="2"/>
  <c r="G16" i="4"/>
  <c r="H15" i="4"/>
  <c r="I16" i="2" s="1"/>
  <c r="H13" i="4"/>
  <c r="I14" i="2" s="1"/>
  <c r="H14" i="4"/>
  <c r="I15" i="2" s="1"/>
  <c r="H11" i="4"/>
  <c r="H12" i="4"/>
  <c r="H10" i="4"/>
  <c r="I11" i="2" s="1"/>
  <c r="G17" i="8" l="1"/>
  <c r="K12" i="2"/>
  <c r="K17" i="2" s="1"/>
  <c r="L13" i="2"/>
  <c r="J17" i="2"/>
  <c r="G17" i="9"/>
  <c r="G17" i="7"/>
  <c r="H17" i="2"/>
  <c r="G17" i="6"/>
  <c r="G11" i="2"/>
  <c r="L16" i="2"/>
  <c r="L15" i="2"/>
  <c r="L14" i="2"/>
  <c r="G17" i="4"/>
  <c r="G17" i="2" l="1"/>
  <c r="L11" i="2"/>
  <c r="L12" i="2"/>
</calcChain>
</file>

<file path=xl/sharedStrings.xml><?xml version="1.0" encoding="utf-8"?>
<sst xmlns="http://schemas.openxmlformats.org/spreadsheetml/2006/main" count="215" uniqueCount="47">
  <si>
    <t>ผลรวมแบบประเมินการสัมภาษณ์ผู้ขอรับทุนศึกษา</t>
  </si>
  <si>
    <t xml:space="preserve">ชื่อผู้ขอรับทุน  </t>
  </si>
  <si>
    <t xml:space="preserve">สังกัดฝ่าย </t>
  </si>
  <si>
    <t>ขอรับทุนระดับ</t>
  </si>
  <si>
    <t>ปริญญาโท</t>
  </si>
  <si>
    <t>สถาบันที่ตอบรับ</t>
  </si>
  <si>
    <t>หมวดการประเมิน</t>
  </si>
  <si>
    <t>กรรมการ</t>
  </si>
  <si>
    <t>EM</t>
  </si>
  <si>
    <t>MD-BPT</t>
  </si>
  <si>
    <t>MD-TARCO</t>
  </si>
  <si>
    <t>MD-BPS</t>
  </si>
  <si>
    <t>HZ</t>
  </si>
  <si>
    <t>คะแนนเฉลี่ย</t>
  </si>
  <si>
    <t>2. โปรดระบุจุดเด่นหรือจุดแข็งของพนักงาน</t>
  </si>
  <si>
    <t>3. โปรดระบุจุดอ่อนของพนักงานหากผ่านสัมภาษณ์</t>
  </si>
  <si>
    <t>4. โปรดแสดงความคิดเห็นเกี่ยวกับความมุ่งมั่นของพนักงานที่จะกลับมาพัฒนาองค์กร</t>
  </si>
  <si>
    <t xml:space="preserve">5. ข้อคิดเห็นอื่นๆ (ถ้ามี) </t>
  </si>
  <si>
    <t xml:space="preserve">6. มติของกรรมการสัมภาษณ์           </t>
  </si>
  <si>
    <t>คะแนนที่ได้</t>
  </si>
  <si>
    <t>ลงชื่อ</t>
  </si>
  <si>
    <t>วันที่</t>
  </si>
  <si>
    <t xml:space="preserve">       ผ่าน</t>
  </si>
  <si>
    <t>คำอธิบายและแนวทางการพิจารณา</t>
  </si>
  <si>
    <t>น้ำหนัก 
(Weight)</t>
  </si>
  <si>
    <t>1. ความสอดคล้อง สนับสนุนต่อกลยุทธ์องค์กร</t>
  </si>
  <si>
    <t>• สาขาวิชาตรงกับทิศทางธุรกิจหลัก (Core Business) หรือยุทธศาสตร์ใหม่ของกลุ่มบริษัท BAFS Group 
• สามารถนำความรู้กลับมาพัฒนานวัตกรรม ต่อยอดธุรกิจ หรือแก้ปัญหาหน้างานจริงได้อย่างเป็นรูปธรรม</t>
  </si>
  <si>
    <t>2. ความผูกพัน และตั้งใจพัฒนาองค์กรในระยะยาว</t>
  </si>
  <si>
    <t>• มีข้อเสนอแผนงานพัฒนางาน (Action Plan) หลังสำเร็จการศึกษาที่ชัดเจนและนำไปปฏิบัติได้จริง
• มีความมุ่งมั่นเติบโตในสายวิชาชีพร่วมกับองค์กร และพร้อมปฏิบัติงานชดใช้ทุนตามสัญญา</t>
  </si>
  <si>
    <t>3. แรงจูงใจและเป้าหมายการศึกษา</t>
  </si>
  <si>
    <t>• มีความมุ่งมั่น มีเป้าหมายการศึกษาชัดเจน และมีความพร้อมด้านวิชาการรวมถึงทักษะภาษา
• มีแผนการเรียนและหัวข้อการศึกษาค้นคว้าอิสระ/วิทยานิพนธ์ที่สอดคล้องตามกรอบเวลาหลักสูตร</t>
  </si>
  <si>
    <t>4. ภาวะผู้นำและบทบาทแบบอย่างที่ดีในการทำงาน</t>
  </si>
  <si>
    <t>• ประพฤติตนตามค่านิยมหลักองค์กร (Core Values) มีวินัย 
และทำงานร่วมกับผู้อื่นได้อย่างราบรื่น
• มีศักยภาพในการเป็นผู้นำการเปลี่ยนแปลง และเป็นผู้ถ่ายทอดองค์ความรู้ (KM) ภายในองค์กร</t>
  </si>
  <si>
    <t>5. การวางแผน ความรับผิดชอบ (ไม่กระทบงาน/ทีม)</t>
  </si>
  <si>
    <t>• มีแผนจัดสรรเวลาเรียนและการทำงานที่ชัดเจน ไม่ส่งผลกระทบต่อผลการดำเนินงานของทีม
• มีการวางแผนส่งมอบงานในหน้าที่ และเตรียมความพร้อมของผู้ปฏิบัติงานแทนอย่างครบถ้วน</t>
  </si>
  <si>
    <t>6. การมีส่วนร่วมในกิจกรรมและโครงการขององค์กร</t>
  </si>
  <si>
    <t>• เคยเข้าร่วมเป็นคณะทำงานในโครงการของบริษัท เช่น Core Values, นวัตกรรม คณะกรรมการคณะต่างๆ หรือเป็นสมาชิกโครงการ UL&amp;YT</t>
  </si>
  <si>
    <t xml:space="preserve">     ไม่ผ่าน</t>
  </si>
  <si>
    <t>MD - TARCO</t>
  </si>
  <si>
    <t>คะแนนรวม
สุทธิ</t>
  </si>
  <si>
    <t>คะแนนก่อนถ่วงน้ำหนัก</t>
  </si>
  <si>
    <t>ผลคะแนนคำนวณตามค่าน้ำหนัก</t>
  </si>
  <si>
    <t>ผลคะแนนคำนวณตามค่าน้ำหนัก (คะแนนเต็ม 100)</t>
  </si>
  <si>
    <t>คะแนนก่อนถ่วงน้ำหนัก (คะแนนเต็ม 30)</t>
  </si>
  <si>
    <t>ผลคะแนนคำนวณตามค่าน้ำหนัก  (คะแนนเต็ม 100)</t>
  </si>
  <si>
    <t>MD - BPT</t>
  </si>
  <si>
    <t>MD - BPS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</si>
</sst>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Calibri"/>
      <family val="2"/>
      <charset val="222"/>
      <scheme val="minor"/>
    </font>
    <font>
      <sz val="14"/>
      <color theme="1"/>
      <name val="TH Sarabun New"/>
      <family val="2"/>
    </font>
    <font>
      <b/>
      <sz val="14"/>
      <color theme="1"/>
      <name val="TH Sarabun New"/>
      <family val="2"/>
    </font>
    <font>
      <b/>
      <sz val="12"/>
      <color theme="1"/>
      <name val="TH Sarabun New"/>
      <family val="2"/>
    </font>
    <font>
      <b/>
      <sz val="10"/>
      <color theme="1"/>
      <name val="TH Sarabun New"/>
      <family val="2"/>
    </font>
    <font>
      <sz val="14"/>
      <color rgb="FFFF0000"/>
      <name val="TH Sarabun New"/>
      <family val="2"/>
    </font>
    <font>
      <b/>
      <sz val="11"/>
      <color theme="1"/>
      <name val="TH Sarabun New"/>
      <family val="2"/>
    </font>
    <font>
      <sz val="12"/>
      <color theme="1"/>
      <name val="TH Sarabun New"/>
      <family val="2"/>
    </font>
    <font>
      <b/>
      <i/>
      <sz val="14"/>
      <color theme="1"/>
      <name val="TH Sarabun New"/>
      <family val="2"/>
    </font>
    <font>
      <sz val="8"/>
      <name val="Calibri"/>
      <family val="2"/>
      <charset val="222"/>
      <scheme val="minor"/>
    </font>
    <font>
      <sz val="8"/>
      <name val="Segoe UI"/>
      <family val="2"/>
    </font>
    <font>
      <b/>
      <sz val="14"/>
      <color theme="9" tint="-0.249977111117893"/>
      <name val="TH Sarabun New"/>
      <family val="2"/>
    </font>
    <font>
      <b/>
      <sz val="16"/>
      <color theme="9" tint="-0.249977111117893"/>
      <name val="TH Sarabun New"/>
      <family val="2"/>
    </font>
    <font>
      <b/>
      <sz val="20"/>
      <color theme="9" tint="-0.249977111117893"/>
      <name val="TH Sarabun New"/>
      <family val="2"/>
    </font>
    <font>
      <b/>
      <sz val="14"/>
      <name val="TH Sarabun New"/>
      <family val="2"/>
    </font>
    <font>
      <b/>
      <sz val="11"/>
      <color theme="0"/>
      <name val="TH Sarabun New"/>
      <family val="2"/>
    </font>
    <font>
      <sz val="14"/>
      <color theme="0"/>
      <name val="TH Sarabun New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499984740745262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1">
    <xf numFmtId="0" fontId="0" fillId="0" borderId="0"/>
  </cellStyleXfs>
  <cellXfs count="102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6" fillId="3" borderId="4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49" fontId="1" fillId="2" borderId="8" xfId="0" applyNumberFormat="1" applyFont="1" applyFill="1" applyBorder="1" applyAlignment="1">
      <alignment horizontal="left" vertical="center"/>
    </xf>
    <xf numFmtId="0" fontId="1" fillId="2" borderId="8" xfId="0" applyFont="1" applyFill="1" applyBorder="1" applyAlignment="1">
      <alignment vertical="center"/>
    </xf>
    <xf numFmtId="0" fontId="1" fillId="4" borderId="13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7" fillId="0" borderId="6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/>
    </xf>
    <xf numFmtId="0" fontId="7" fillId="0" borderId="14" xfId="0" applyFont="1" applyBorder="1" applyAlignment="1">
      <alignment horizontal="left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7" fillId="0" borderId="6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7" fillId="0" borderId="9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7" fillId="0" borderId="10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left" vertical="center" wrapText="1"/>
    </xf>
    <xf numFmtId="0" fontId="7" fillId="0" borderId="12" xfId="0" applyFont="1" applyBorder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left" vertical="center"/>
    </xf>
    <xf numFmtId="49" fontId="1" fillId="4" borderId="13" xfId="0" applyNumberFormat="1" applyFont="1" applyFill="1" applyBorder="1" applyAlignment="1">
      <alignment horizontal="left" vertical="center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7" fillId="0" borderId="5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left" vertical="center" wrapText="1"/>
    </xf>
    <xf numFmtId="0" fontId="7" fillId="0" borderId="7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 wrapText="1"/>
    </xf>
    <xf numFmtId="0" fontId="7" fillId="0" borderId="9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center" vertical="center"/>
    </xf>
    <xf numFmtId="0" fontId="7" fillId="0" borderId="15" xfId="0" applyFont="1" applyBorder="1" applyAlignment="1">
      <alignment horizontal="left" vertical="center" wrapText="1"/>
    </xf>
    <xf numFmtId="0" fontId="7" fillId="2" borderId="1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7" fillId="0" borderId="0" xfId="0" applyFont="1" applyFill="1" applyBorder="1" applyAlignment="1">
      <alignment horizontal="left" vertical="center"/>
    </xf>
    <xf numFmtId="0" fontId="7" fillId="0" borderId="0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left" vertical="center"/>
    </xf>
    <xf numFmtId="49" fontId="1" fillId="2" borderId="8" xfId="0" applyNumberFormat="1" applyFont="1" applyFill="1" applyBorder="1" applyAlignment="1">
      <alignment vertical="center"/>
    </xf>
    <xf numFmtId="0" fontId="1" fillId="2" borderId="8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left" vertical="center"/>
    </xf>
    <xf numFmtId="0" fontId="1" fillId="0" borderId="0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5" fillId="0" borderId="0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7" fillId="0" borderId="14" xfId="0" applyFont="1" applyBorder="1" applyAlignment="1">
      <alignment horizontal="left" vertical="center" wrapText="1"/>
    </xf>
    <xf numFmtId="0" fontId="1" fillId="0" borderId="14" xfId="0" applyFont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/>
    </xf>
    <xf numFmtId="0" fontId="2" fillId="0" borderId="21" xfId="0" applyFont="1" applyBorder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7" fillId="2" borderId="8" xfId="0" applyFont="1" applyFill="1" applyBorder="1" applyAlignment="1">
      <alignment vertical="center"/>
    </xf>
    <xf numFmtId="0" fontId="2" fillId="0" borderId="0" xfId="0" applyFont="1" applyBorder="1" applyAlignment="1">
      <alignment horizontal="left" vertical="center"/>
    </xf>
    <xf numFmtId="0" fontId="1" fillId="0" borderId="20" xfId="0" applyFont="1" applyBorder="1" applyAlignment="1">
      <alignment horizontal="right" vertical="center"/>
    </xf>
    <xf numFmtId="0" fontId="1" fillId="0" borderId="22" xfId="0" applyFont="1" applyBorder="1" applyAlignment="1">
      <alignment vertical="center"/>
    </xf>
    <xf numFmtId="0" fontId="1" fillId="0" borderId="21" xfId="0" applyFont="1" applyBorder="1" applyAlignment="1">
      <alignment horizontal="right" vertical="center"/>
    </xf>
    <xf numFmtId="0" fontId="8" fillId="5" borderId="0" xfId="0" applyFont="1" applyFill="1" applyAlignment="1">
      <alignment horizontal="right" vertical="center" indent="1"/>
    </xf>
    <xf numFmtId="0" fontId="8" fillId="5" borderId="17" xfId="0" applyFont="1" applyFill="1" applyBorder="1" applyAlignment="1">
      <alignment horizontal="right" vertical="center" indent="1"/>
    </xf>
    <xf numFmtId="0" fontId="1" fillId="0" borderId="0" xfId="0" applyFont="1" applyAlignment="1">
      <alignment horizontal="center"/>
    </xf>
    <xf numFmtId="0" fontId="3" fillId="3" borderId="0" xfId="0" applyFont="1" applyFill="1" applyBorder="1" applyAlignment="1">
      <alignment horizontal="center" vertical="center" wrapText="1"/>
    </xf>
    <xf numFmtId="49" fontId="1" fillId="2" borderId="0" xfId="0" applyNumberFormat="1" applyFont="1" applyFill="1" applyBorder="1" applyAlignment="1">
      <alignment horizontal="center" vertical="center"/>
    </xf>
    <xf numFmtId="49" fontId="1" fillId="4" borderId="0" xfId="0" applyNumberFormat="1" applyFont="1" applyFill="1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8" fillId="5" borderId="19" xfId="0" applyFont="1" applyFill="1" applyBorder="1" applyAlignment="1">
      <alignment horizontal="right" vertical="center"/>
    </xf>
    <xf numFmtId="0" fontId="13" fillId="0" borderId="0" xfId="0" applyFont="1" applyBorder="1" applyAlignment="1">
      <alignment horizontal="center" vertical="center"/>
    </xf>
    <xf numFmtId="0" fontId="13" fillId="0" borderId="0" xfId="0" applyFont="1" applyBorder="1" applyAlignment="1">
      <alignment vertical="center"/>
    </xf>
    <xf numFmtId="0" fontId="12" fillId="0" borderId="0" xfId="0" applyFont="1" applyBorder="1" applyAlignment="1">
      <alignment horizontal="center" vertical="center"/>
    </xf>
    <xf numFmtId="0" fontId="8" fillId="6" borderId="0" xfId="0" applyFont="1" applyFill="1" applyBorder="1" applyAlignment="1">
      <alignment horizontal="right" vertical="center"/>
    </xf>
    <xf numFmtId="0" fontId="1" fillId="0" borderId="18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Border="1" applyAlignment="1">
      <alignment horizontal="left" vertical="center" wrapText="1"/>
    </xf>
    <xf numFmtId="0" fontId="7" fillId="0" borderId="18" xfId="0" applyFont="1" applyBorder="1" applyAlignment="1">
      <alignment horizontal="center" vertical="center"/>
    </xf>
    <xf numFmtId="0" fontId="7" fillId="0" borderId="18" xfId="0" applyFont="1" applyBorder="1" applyAlignment="1">
      <alignment horizontal="left" vertical="center" wrapText="1"/>
    </xf>
    <xf numFmtId="0" fontId="7" fillId="0" borderId="24" xfId="0" applyFont="1" applyBorder="1" applyAlignment="1">
      <alignment horizontal="left" vertical="center" wrapText="1"/>
    </xf>
    <xf numFmtId="0" fontId="7" fillId="0" borderId="17" xfId="0" applyFont="1" applyBorder="1" applyAlignment="1">
      <alignment horizontal="left" vertical="center" wrapText="1"/>
    </xf>
    <xf numFmtId="0" fontId="14" fillId="5" borderId="2" xfId="0" applyFont="1" applyFill="1" applyBorder="1" applyAlignment="1">
      <alignment horizontal="center" vertical="center"/>
    </xf>
    <xf numFmtId="0" fontId="1" fillId="0" borderId="24" xfId="0" applyFont="1" applyBorder="1" applyAlignment="1">
      <alignment vertical="center"/>
    </xf>
    <xf numFmtId="0" fontId="15" fillId="7" borderId="23" xfId="0" applyFont="1" applyFill="1" applyBorder="1" applyAlignment="1">
      <alignment horizontal="center" vertical="center"/>
    </xf>
    <xf numFmtId="0" fontId="16" fillId="7" borderId="4" xfId="0" applyFont="1" applyFill="1" applyBorder="1" applyAlignment="1">
      <alignment vertical="center"/>
    </xf>
    <xf numFmtId="0" fontId="7" fillId="0" borderId="5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26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8085</xdr:colOff>
      <xdr:row>0</xdr:row>
      <xdr:rowOff>321195</xdr:rowOff>
    </xdr:from>
    <xdr:to>
      <xdr:col>12</xdr:col>
      <xdr:colOff>13393</xdr:colOff>
      <xdr:row>7</xdr:row>
      <xdr:rowOff>39716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2020D4C-6984-4929-9A14-11ACF824E21E}"/>
            </a:ext>
          </a:extLst>
        </xdr:cNvPr>
        <xdr:cNvSpPr txBox="1"/>
      </xdr:nvSpPr>
      <xdr:spPr>
        <a:xfrm>
          <a:off x="5861630" y="321195"/>
          <a:ext cx="3462018" cy="1332576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h-TH" sz="1200" b="1">
              <a:latin typeface="TH Sarabun New" panose="020B0500040200020003" pitchFamily="34" charset="-34"/>
              <a:cs typeface="TH Sarabun New" panose="020B0500040200020003" pitchFamily="34" charset="-34"/>
            </a:rPr>
            <a:t>เกณฑ์ระดับคะแนน</a:t>
          </a:r>
        </a:p>
        <a:p>
          <a:r>
            <a:rPr lang="th-TH" sz="1200" b="0" i="0" u="none" strike="noStrike">
              <a:solidFill>
                <a:schemeClr val="dk1"/>
              </a:solidFill>
              <a:effectLst/>
              <a:latin typeface="TH Sarabun New" panose="020B0500040200020003" pitchFamily="34" charset="-34"/>
              <a:ea typeface="+mn-ea"/>
              <a:cs typeface="TH Sarabun New" panose="020B0500040200020003" pitchFamily="34" charset="-34"/>
            </a:rPr>
            <a:t>5 คะแนน: แสดงออกอย่างโดดเด่น / เกินความคาดหวังอย่างชัดเจน</a:t>
          </a:r>
          <a:r>
            <a:rPr lang="th-TH" sz="1200">
              <a:latin typeface="TH Sarabun New" panose="020B0500040200020003" pitchFamily="34" charset="-34"/>
              <a:cs typeface="TH Sarabun New" panose="020B0500040200020003" pitchFamily="34" charset="-34"/>
            </a:rPr>
            <a:t> </a:t>
          </a:r>
          <a:endParaRPr lang="en-US" sz="1200">
            <a:latin typeface="TH Sarabun New" panose="020B0500040200020003" pitchFamily="34" charset="-34"/>
            <a:cs typeface="TH Sarabun New" panose="020B0500040200020003" pitchFamily="34" charset="-34"/>
          </a:endParaRPr>
        </a:p>
        <a:p>
          <a:r>
            <a:rPr lang="th-TH" sz="1200" b="0" i="0" u="none" strike="noStrike">
              <a:solidFill>
                <a:schemeClr val="dk1"/>
              </a:solidFill>
              <a:effectLst/>
              <a:latin typeface="TH Sarabun New" panose="020B0500040200020003" pitchFamily="34" charset="-34"/>
              <a:ea typeface="+mn-ea"/>
              <a:cs typeface="TH Sarabun New" panose="020B0500040200020003" pitchFamily="34" charset="-34"/>
            </a:rPr>
            <a:t>4 คะแนน: แสดงออกอย่างชัดเจน / สอดคล้องตามเกณฑ์มาตรฐานที่ดี</a:t>
          </a:r>
          <a:r>
            <a:rPr lang="th-TH" sz="1200">
              <a:latin typeface="TH Sarabun New" panose="020B0500040200020003" pitchFamily="34" charset="-34"/>
              <a:cs typeface="TH Sarabun New" panose="020B0500040200020003" pitchFamily="34" charset="-34"/>
            </a:rPr>
            <a:t> </a:t>
          </a:r>
          <a:endParaRPr lang="en-US" sz="1200">
            <a:latin typeface="TH Sarabun New" panose="020B0500040200020003" pitchFamily="34" charset="-34"/>
            <a:cs typeface="TH Sarabun New" panose="020B0500040200020003" pitchFamily="34" charset="-34"/>
          </a:endParaRPr>
        </a:p>
        <a:p>
          <a:r>
            <a:rPr lang="th-TH" sz="1200" b="0" i="0" u="none" strike="noStrike">
              <a:solidFill>
                <a:schemeClr val="dk1"/>
              </a:solidFill>
              <a:effectLst/>
              <a:latin typeface="TH Sarabun New" panose="020B0500040200020003" pitchFamily="34" charset="-34"/>
              <a:ea typeface="+mn-ea"/>
              <a:cs typeface="TH Sarabun New" panose="020B0500040200020003" pitchFamily="34" charset="-34"/>
            </a:rPr>
            <a:t>3 คะแนน: แสดงออกปานกลาง / เป็นไปตามเกณฑ์มาตรฐานพื้นฐาน</a:t>
          </a:r>
          <a:r>
            <a:rPr lang="th-TH" sz="1200">
              <a:latin typeface="TH Sarabun New" panose="020B0500040200020003" pitchFamily="34" charset="-34"/>
              <a:cs typeface="TH Sarabun New" panose="020B0500040200020003" pitchFamily="34" charset="-34"/>
            </a:rPr>
            <a:t> </a:t>
          </a:r>
          <a:endParaRPr lang="en-US" sz="1200">
            <a:latin typeface="TH Sarabun New" panose="020B0500040200020003" pitchFamily="34" charset="-34"/>
            <a:cs typeface="TH Sarabun New" panose="020B0500040200020003" pitchFamily="34" charset="-34"/>
          </a:endParaRPr>
        </a:p>
        <a:p>
          <a:r>
            <a:rPr lang="th-TH" sz="1200" b="0" i="0" u="none" strike="noStrike">
              <a:solidFill>
                <a:schemeClr val="dk1"/>
              </a:solidFill>
              <a:effectLst/>
              <a:latin typeface="TH Sarabun New" panose="020B0500040200020003" pitchFamily="34" charset="-34"/>
              <a:ea typeface="+mn-ea"/>
              <a:cs typeface="TH Sarabun New" panose="020B0500040200020003" pitchFamily="34" charset="-34"/>
            </a:rPr>
            <a:t>2 คะแนน: แสดงออกน้อย/ต่ำกว่าเกณฑ์มาตรฐานที่คาดหวัง</a:t>
          </a:r>
          <a:r>
            <a:rPr lang="th-TH" sz="1200">
              <a:latin typeface="TH Sarabun New" panose="020B0500040200020003" pitchFamily="34" charset="-34"/>
              <a:cs typeface="TH Sarabun New" panose="020B0500040200020003" pitchFamily="34" charset="-34"/>
            </a:rPr>
            <a:t> </a:t>
          </a:r>
          <a:endParaRPr lang="en-US" sz="1200">
            <a:latin typeface="TH Sarabun New" panose="020B0500040200020003" pitchFamily="34" charset="-34"/>
            <a:cs typeface="TH Sarabun New" panose="020B0500040200020003" pitchFamily="34" charset="-34"/>
          </a:endParaRPr>
        </a:p>
        <a:p>
          <a:r>
            <a:rPr lang="th-TH" sz="1200" b="0" i="0" u="none" strike="noStrike">
              <a:solidFill>
                <a:schemeClr val="dk1"/>
              </a:solidFill>
              <a:effectLst/>
              <a:latin typeface="TH Sarabun New" panose="020B0500040200020003" pitchFamily="34" charset="-34"/>
              <a:ea typeface="+mn-ea"/>
              <a:cs typeface="TH Sarabun New" panose="020B0500040200020003" pitchFamily="34" charset="-34"/>
            </a:rPr>
            <a:t>1 คะแนน: ไม่แสดงออก / ไม่สอดคล้องตามเกณฑ์มาตรฐาน</a:t>
          </a:r>
          <a:r>
            <a:rPr lang="th-TH" sz="1200">
              <a:latin typeface="TH Sarabun New" panose="020B0500040200020003" pitchFamily="34" charset="-34"/>
              <a:cs typeface="TH Sarabun New" panose="020B0500040200020003" pitchFamily="34" charset="-34"/>
            </a:rPr>
            <a:t> </a:t>
          </a:r>
          <a:endParaRPr lang="en-US" sz="1200">
            <a:latin typeface="TH Sarabun New" panose="020B0500040200020003" pitchFamily="34" charset="-34"/>
            <a:cs typeface="TH Sarabun New" panose="020B0500040200020003" pitchFamily="34" charset="-34"/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66732</xdr:colOff>
          <xdr:row>33</xdr:row>
          <xdr:rowOff>98829</xdr:rowOff>
        </xdr:from>
        <xdr:to>
          <xdr:col>3</xdr:col>
          <xdr:colOff>343823</xdr:colOff>
          <xdr:row>35</xdr:row>
          <xdr:rowOff>76200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465975</xdr:colOff>
          <xdr:row>33</xdr:row>
          <xdr:rowOff>101483</xdr:rowOff>
        </xdr:from>
        <xdr:to>
          <xdr:col>5</xdr:col>
          <xdr:colOff>266700</xdr:colOff>
          <xdr:row>35</xdr:row>
          <xdr:rowOff>59574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AEBDAC0B-E54E-458F-93C4-0E2D5848097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19859</xdr:colOff>
      <xdr:row>8</xdr:row>
      <xdr:rowOff>15472</xdr:rowOff>
    </xdr:from>
    <xdr:to>
      <xdr:col>13</xdr:col>
      <xdr:colOff>554066</xdr:colOff>
      <xdr:row>9</xdr:row>
      <xdr:rowOff>844896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93F07CB-6296-407B-B822-E32E1DB9423F}"/>
            </a:ext>
          </a:extLst>
        </xdr:cNvPr>
        <xdr:cNvSpPr txBox="1"/>
      </xdr:nvSpPr>
      <xdr:spPr>
        <a:xfrm>
          <a:off x="7018829" y="1900152"/>
          <a:ext cx="3064047" cy="1323454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h-TH" sz="1200" b="1">
              <a:latin typeface="TH Sarabun New" panose="020B0500040200020003" pitchFamily="34" charset="-34"/>
              <a:cs typeface="TH Sarabun New" panose="020B0500040200020003" pitchFamily="34" charset="-34"/>
            </a:rPr>
            <a:t>เกณฑ์ระดับคะแนน</a:t>
          </a:r>
        </a:p>
        <a:p>
          <a:r>
            <a:rPr lang="th-TH" sz="1200" b="0" i="0" u="none" strike="noStrike">
              <a:solidFill>
                <a:schemeClr val="dk1"/>
              </a:solidFill>
              <a:effectLst/>
              <a:latin typeface="TH Sarabun New" panose="020B0500040200020003" pitchFamily="34" charset="-34"/>
              <a:ea typeface="+mn-ea"/>
              <a:cs typeface="TH Sarabun New" panose="020B0500040200020003" pitchFamily="34" charset="-34"/>
            </a:rPr>
            <a:t>5 คะแนน: แสดงออกอย่างโดดเด่น / เกินความคาดหวังอย่างชัดเจน</a:t>
          </a:r>
          <a:r>
            <a:rPr lang="th-TH" sz="1200">
              <a:latin typeface="TH Sarabun New" panose="020B0500040200020003" pitchFamily="34" charset="-34"/>
              <a:cs typeface="TH Sarabun New" panose="020B0500040200020003" pitchFamily="34" charset="-34"/>
            </a:rPr>
            <a:t> </a:t>
          </a:r>
          <a:endParaRPr lang="en-US" sz="1200">
            <a:latin typeface="TH Sarabun New" panose="020B0500040200020003" pitchFamily="34" charset="-34"/>
            <a:cs typeface="TH Sarabun New" panose="020B0500040200020003" pitchFamily="34" charset="-34"/>
          </a:endParaRPr>
        </a:p>
        <a:p>
          <a:r>
            <a:rPr lang="th-TH" sz="1200" b="0" i="0" u="none" strike="noStrike">
              <a:solidFill>
                <a:schemeClr val="dk1"/>
              </a:solidFill>
              <a:effectLst/>
              <a:latin typeface="TH Sarabun New" panose="020B0500040200020003" pitchFamily="34" charset="-34"/>
              <a:ea typeface="+mn-ea"/>
              <a:cs typeface="TH Sarabun New" panose="020B0500040200020003" pitchFamily="34" charset="-34"/>
            </a:rPr>
            <a:t>4 คะแนน: แสดงออกอย่างชัดเจน / สอดคล้องตามเกณฑ์มาตรฐานที่ดี</a:t>
          </a:r>
          <a:r>
            <a:rPr lang="th-TH" sz="1200">
              <a:latin typeface="TH Sarabun New" panose="020B0500040200020003" pitchFamily="34" charset="-34"/>
              <a:cs typeface="TH Sarabun New" panose="020B0500040200020003" pitchFamily="34" charset="-34"/>
            </a:rPr>
            <a:t> </a:t>
          </a:r>
          <a:endParaRPr lang="en-US" sz="1200">
            <a:latin typeface="TH Sarabun New" panose="020B0500040200020003" pitchFamily="34" charset="-34"/>
            <a:cs typeface="TH Sarabun New" panose="020B0500040200020003" pitchFamily="34" charset="-34"/>
          </a:endParaRPr>
        </a:p>
        <a:p>
          <a:r>
            <a:rPr lang="th-TH" sz="1200" b="0" i="0" u="none" strike="noStrike">
              <a:solidFill>
                <a:schemeClr val="dk1"/>
              </a:solidFill>
              <a:effectLst/>
              <a:latin typeface="TH Sarabun New" panose="020B0500040200020003" pitchFamily="34" charset="-34"/>
              <a:ea typeface="+mn-ea"/>
              <a:cs typeface="TH Sarabun New" panose="020B0500040200020003" pitchFamily="34" charset="-34"/>
            </a:rPr>
            <a:t>3 คะแนน: แสดงออกปานกลาง / เป็นไปตามเกณฑ์มาตรฐานพื้นฐาน</a:t>
          </a:r>
          <a:r>
            <a:rPr lang="th-TH" sz="1200">
              <a:latin typeface="TH Sarabun New" panose="020B0500040200020003" pitchFamily="34" charset="-34"/>
              <a:cs typeface="TH Sarabun New" panose="020B0500040200020003" pitchFamily="34" charset="-34"/>
            </a:rPr>
            <a:t> </a:t>
          </a:r>
          <a:endParaRPr lang="en-US" sz="1200">
            <a:latin typeface="TH Sarabun New" panose="020B0500040200020003" pitchFamily="34" charset="-34"/>
            <a:cs typeface="TH Sarabun New" panose="020B0500040200020003" pitchFamily="34" charset="-34"/>
          </a:endParaRPr>
        </a:p>
        <a:p>
          <a:r>
            <a:rPr lang="th-TH" sz="1200" b="0" i="0" u="none" strike="noStrike">
              <a:solidFill>
                <a:schemeClr val="dk1"/>
              </a:solidFill>
              <a:effectLst/>
              <a:latin typeface="TH Sarabun New" panose="020B0500040200020003" pitchFamily="34" charset="-34"/>
              <a:ea typeface="+mn-ea"/>
              <a:cs typeface="TH Sarabun New" panose="020B0500040200020003" pitchFamily="34" charset="-34"/>
            </a:rPr>
            <a:t>2 คะแนน: แสดงออกน้อย/ต่ำกว่าเกณฑ์มาตรฐานที่คาดหวัง</a:t>
          </a:r>
          <a:r>
            <a:rPr lang="th-TH" sz="1200">
              <a:latin typeface="TH Sarabun New" panose="020B0500040200020003" pitchFamily="34" charset="-34"/>
              <a:cs typeface="TH Sarabun New" panose="020B0500040200020003" pitchFamily="34" charset="-34"/>
            </a:rPr>
            <a:t> </a:t>
          </a:r>
          <a:endParaRPr lang="en-US" sz="1200">
            <a:latin typeface="TH Sarabun New" panose="020B0500040200020003" pitchFamily="34" charset="-34"/>
            <a:cs typeface="TH Sarabun New" panose="020B0500040200020003" pitchFamily="34" charset="-34"/>
          </a:endParaRPr>
        </a:p>
        <a:p>
          <a:r>
            <a:rPr lang="th-TH" sz="1200" b="0" i="0" u="none" strike="noStrike">
              <a:solidFill>
                <a:schemeClr val="dk1"/>
              </a:solidFill>
              <a:effectLst/>
              <a:latin typeface="TH Sarabun New" panose="020B0500040200020003" pitchFamily="34" charset="-34"/>
              <a:ea typeface="+mn-ea"/>
              <a:cs typeface="TH Sarabun New" panose="020B0500040200020003" pitchFamily="34" charset="-34"/>
            </a:rPr>
            <a:t>1 คะแนน: ไม่แสดงออก / ไม่สอดคล้องตามเกณฑ์มาตรฐาน</a:t>
          </a:r>
          <a:r>
            <a:rPr lang="th-TH" sz="1200">
              <a:latin typeface="TH Sarabun New" panose="020B0500040200020003" pitchFamily="34" charset="-34"/>
              <a:cs typeface="TH Sarabun New" panose="020B0500040200020003" pitchFamily="34" charset="-34"/>
            </a:rPr>
            <a:t> </a:t>
          </a:r>
          <a:endParaRPr lang="en-US" sz="1200">
            <a:latin typeface="TH Sarabun New" panose="020B0500040200020003" pitchFamily="34" charset="-34"/>
            <a:cs typeface="TH Sarabun New" panose="020B0500040200020003" pitchFamily="34" charset="-34"/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66732</xdr:colOff>
          <xdr:row>33</xdr:row>
          <xdr:rowOff>98829</xdr:rowOff>
        </xdr:from>
        <xdr:to>
          <xdr:col>3</xdr:col>
          <xdr:colOff>343823</xdr:colOff>
          <xdr:row>35</xdr:row>
          <xdr:rowOff>76200</xdr:rowOff>
        </xdr:to>
        <xdr:sp macro="" textlink="">
          <xdr:nvSpPr>
            <xdr:cNvPr id="5121" name="Check Box 1" hidden="1">
              <a:extLst>
                <a:ext uri="{63B3BB69-23CF-44E3-9099-C40C66FF867C}">
                  <a14:compatExt spid="_x0000_s5121"/>
                </a:ext>
                <a:ext uri="{FF2B5EF4-FFF2-40B4-BE49-F238E27FC236}">
                  <a16:creationId xmlns:a16="http://schemas.microsoft.com/office/drawing/2014/main" id="{C06A57EB-53D8-49A4-B718-44368923A77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465975</xdr:colOff>
          <xdr:row>33</xdr:row>
          <xdr:rowOff>101483</xdr:rowOff>
        </xdr:from>
        <xdr:to>
          <xdr:col>5</xdr:col>
          <xdr:colOff>266701</xdr:colOff>
          <xdr:row>35</xdr:row>
          <xdr:rowOff>63384</xdr:rowOff>
        </xdr:to>
        <xdr:sp macro="" textlink="">
          <xdr:nvSpPr>
            <xdr:cNvPr id="5122" name="Check Box 2" hidden="1">
              <a:extLst>
                <a:ext uri="{63B3BB69-23CF-44E3-9099-C40C66FF867C}">
                  <a14:compatExt spid="_x0000_s5122"/>
                </a:ext>
                <a:ext uri="{FF2B5EF4-FFF2-40B4-BE49-F238E27FC236}">
                  <a16:creationId xmlns:a16="http://schemas.microsoft.com/office/drawing/2014/main" id="{D0BE5B57-DA5E-496F-8AFE-04A15C5816F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19859</xdr:colOff>
      <xdr:row>8</xdr:row>
      <xdr:rowOff>15472</xdr:rowOff>
    </xdr:from>
    <xdr:to>
      <xdr:col>13</xdr:col>
      <xdr:colOff>554066</xdr:colOff>
      <xdr:row>9</xdr:row>
      <xdr:rowOff>844896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173BF7-339A-4580-845B-35F0C3FEBB0F}"/>
            </a:ext>
          </a:extLst>
        </xdr:cNvPr>
        <xdr:cNvSpPr txBox="1"/>
      </xdr:nvSpPr>
      <xdr:spPr>
        <a:xfrm>
          <a:off x="7018829" y="1900152"/>
          <a:ext cx="3064047" cy="1323454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h-TH" sz="1200" b="1">
              <a:latin typeface="TH Sarabun New" panose="020B0500040200020003" pitchFamily="34" charset="-34"/>
              <a:cs typeface="TH Sarabun New" panose="020B0500040200020003" pitchFamily="34" charset="-34"/>
            </a:rPr>
            <a:t>เกณฑ์ระดับคะแนน</a:t>
          </a:r>
        </a:p>
        <a:p>
          <a:r>
            <a:rPr lang="th-TH" sz="1200" b="0" i="0" u="none" strike="noStrike">
              <a:solidFill>
                <a:schemeClr val="dk1"/>
              </a:solidFill>
              <a:effectLst/>
              <a:latin typeface="TH Sarabun New" panose="020B0500040200020003" pitchFamily="34" charset="-34"/>
              <a:ea typeface="+mn-ea"/>
              <a:cs typeface="TH Sarabun New" panose="020B0500040200020003" pitchFamily="34" charset="-34"/>
            </a:rPr>
            <a:t>5 คะแนน: แสดงออกอย่างโดดเด่น / เกินความคาดหวังอย่างชัดเจน</a:t>
          </a:r>
          <a:r>
            <a:rPr lang="th-TH" sz="1200">
              <a:latin typeface="TH Sarabun New" panose="020B0500040200020003" pitchFamily="34" charset="-34"/>
              <a:cs typeface="TH Sarabun New" panose="020B0500040200020003" pitchFamily="34" charset="-34"/>
            </a:rPr>
            <a:t> </a:t>
          </a:r>
          <a:endParaRPr lang="en-US" sz="1200">
            <a:latin typeface="TH Sarabun New" panose="020B0500040200020003" pitchFamily="34" charset="-34"/>
            <a:cs typeface="TH Sarabun New" panose="020B0500040200020003" pitchFamily="34" charset="-34"/>
          </a:endParaRPr>
        </a:p>
        <a:p>
          <a:r>
            <a:rPr lang="th-TH" sz="1200" b="0" i="0" u="none" strike="noStrike">
              <a:solidFill>
                <a:schemeClr val="dk1"/>
              </a:solidFill>
              <a:effectLst/>
              <a:latin typeface="TH Sarabun New" panose="020B0500040200020003" pitchFamily="34" charset="-34"/>
              <a:ea typeface="+mn-ea"/>
              <a:cs typeface="TH Sarabun New" panose="020B0500040200020003" pitchFamily="34" charset="-34"/>
            </a:rPr>
            <a:t>4 คะแนน: แสดงออกอย่างชัดเจน / สอดคล้องตามเกณฑ์มาตรฐานที่ดี</a:t>
          </a:r>
          <a:r>
            <a:rPr lang="th-TH" sz="1200">
              <a:latin typeface="TH Sarabun New" panose="020B0500040200020003" pitchFamily="34" charset="-34"/>
              <a:cs typeface="TH Sarabun New" panose="020B0500040200020003" pitchFamily="34" charset="-34"/>
            </a:rPr>
            <a:t> </a:t>
          </a:r>
          <a:endParaRPr lang="en-US" sz="1200">
            <a:latin typeface="TH Sarabun New" panose="020B0500040200020003" pitchFamily="34" charset="-34"/>
            <a:cs typeface="TH Sarabun New" panose="020B0500040200020003" pitchFamily="34" charset="-34"/>
          </a:endParaRPr>
        </a:p>
        <a:p>
          <a:r>
            <a:rPr lang="th-TH" sz="1200" b="0" i="0" u="none" strike="noStrike">
              <a:solidFill>
                <a:schemeClr val="dk1"/>
              </a:solidFill>
              <a:effectLst/>
              <a:latin typeface="TH Sarabun New" panose="020B0500040200020003" pitchFamily="34" charset="-34"/>
              <a:ea typeface="+mn-ea"/>
              <a:cs typeface="TH Sarabun New" panose="020B0500040200020003" pitchFamily="34" charset="-34"/>
            </a:rPr>
            <a:t>3 คะแนน: แสดงออกปานกลาง / เป็นไปตามเกณฑ์มาตรฐานพื้นฐาน</a:t>
          </a:r>
          <a:r>
            <a:rPr lang="th-TH" sz="1200">
              <a:latin typeface="TH Sarabun New" panose="020B0500040200020003" pitchFamily="34" charset="-34"/>
              <a:cs typeface="TH Sarabun New" panose="020B0500040200020003" pitchFamily="34" charset="-34"/>
            </a:rPr>
            <a:t> </a:t>
          </a:r>
          <a:endParaRPr lang="en-US" sz="1200">
            <a:latin typeface="TH Sarabun New" panose="020B0500040200020003" pitchFamily="34" charset="-34"/>
            <a:cs typeface="TH Sarabun New" panose="020B0500040200020003" pitchFamily="34" charset="-34"/>
          </a:endParaRPr>
        </a:p>
        <a:p>
          <a:r>
            <a:rPr lang="th-TH" sz="1200" b="0" i="0" u="none" strike="noStrike">
              <a:solidFill>
                <a:schemeClr val="dk1"/>
              </a:solidFill>
              <a:effectLst/>
              <a:latin typeface="TH Sarabun New" panose="020B0500040200020003" pitchFamily="34" charset="-34"/>
              <a:ea typeface="+mn-ea"/>
              <a:cs typeface="TH Sarabun New" panose="020B0500040200020003" pitchFamily="34" charset="-34"/>
            </a:rPr>
            <a:t>2 คะแนน: แสดงออกน้อย/ต่ำกว่าเกณฑ์มาตรฐานที่คาดหวัง</a:t>
          </a:r>
          <a:r>
            <a:rPr lang="th-TH" sz="1200">
              <a:latin typeface="TH Sarabun New" panose="020B0500040200020003" pitchFamily="34" charset="-34"/>
              <a:cs typeface="TH Sarabun New" panose="020B0500040200020003" pitchFamily="34" charset="-34"/>
            </a:rPr>
            <a:t> </a:t>
          </a:r>
          <a:endParaRPr lang="en-US" sz="1200">
            <a:latin typeface="TH Sarabun New" panose="020B0500040200020003" pitchFamily="34" charset="-34"/>
            <a:cs typeface="TH Sarabun New" panose="020B0500040200020003" pitchFamily="34" charset="-34"/>
          </a:endParaRPr>
        </a:p>
        <a:p>
          <a:r>
            <a:rPr lang="th-TH" sz="1200" b="0" i="0" u="none" strike="noStrike">
              <a:solidFill>
                <a:schemeClr val="dk1"/>
              </a:solidFill>
              <a:effectLst/>
              <a:latin typeface="TH Sarabun New" panose="020B0500040200020003" pitchFamily="34" charset="-34"/>
              <a:ea typeface="+mn-ea"/>
              <a:cs typeface="TH Sarabun New" panose="020B0500040200020003" pitchFamily="34" charset="-34"/>
            </a:rPr>
            <a:t>1 คะแนน: ไม่แสดงออก / ไม่สอดคล้องตามเกณฑ์มาตรฐาน</a:t>
          </a:r>
          <a:r>
            <a:rPr lang="th-TH" sz="1200">
              <a:latin typeface="TH Sarabun New" panose="020B0500040200020003" pitchFamily="34" charset="-34"/>
              <a:cs typeface="TH Sarabun New" panose="020B0500040200020003" pitchFamily="34" charset="-34"/>
            </a:rPr>
            <a:t> </a:t>
          </a:r>
          <a:endParaRPr lang="en-US" sz="1200">
            <a:latin typeface="TH Sarabun New" panose="020B0500040200020003" pitchFamily="34" charset="-34"/>
            <a:cs typeface="TH Sarabun New" panose="020B0500040200020003" pitchFamily="34" charset="-34"/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66732</xdr:colOff>
          <xdr:row>33</xdr:row>
          <xdr:rowOff>98829</xdr:rowOff>
        </xdr:from>
        <xdr:to>
          <xdr:col>3</xdr:col>
          <xdr:colOff>343823</xdr:colOff>
          <xdr:row>35</xdr:row>
          <xdr:rowOff>76200</xdr:rowOff>
        </xdr:to>
        <xdr:sp macro="" textlink="">
          <xdr:nvSpPr>
            <xdr:cNvPr id="6145" name="Check Box 1" hidden="1">
              <a:extLst>
                <a:ext uri="{63B3BB69-23CF-44E3-9099-C40C66FF867C}">
                  <a14:compatExt spid="_x0000_s6145"/>
                </a:ext>
                <a:ext uri="{FF2B5EF4-FFF2-40B4-BE49-F238E27FC236}">
                  <a16:creationId xmlns:a16="http://schemas.microsoft.com/office/drawing/2014/main" id="{CE3180BC-51E1-4F9A-8BFA-2FBDAFE2565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465975</xdr:colOff>
          <xdr:row>33</xdr:row>
          <xdr:rowOff>101483</xdr:rowOff>
        </xdr:from>
        <xdr:to>
          <xdr:col>5</xdr:col>
          <xdr:colOff>266701</xdr:colOff>
          <xdr:row>35</xdr:row>
          <xdr:rowOff>62114</xdr:rowOff>
        </xdr:to>
        <xdr:sp macro="" textlink="">
          <xdr:nvSpPr>
            <xdr:cNvPr id="6146" name="Check Box 2" hidden="1">
              <a:extLst>
                <a:ext uri="{63B3BB69-23CF-44E3-9099-C40C66FF867C}">
                  <a14:compatExt spid="_x0000_s6146"/>
                </a:ext>
                <a:ext uri="{FF2B5EF4-FFF2-40B4-BE49-F238E27FC236}">
                  <a16:creationId xmlns:a16="http://schemas.microsoft.com/office/drawing/2014/main" id="{3BFFD3D0-2EE7-4CE6-B35F-BFFB52C842F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19859</xdr:colOff>
      <xdr:row>8</xdr:row>
      <xdr:rowOff>15472</xdr:rowOff>
    </xdr:from>
    <xdr:to>
      <xdr:col>13</xdr:col>
      <xdr:colOff>554066</xdr:colOff>
      <xdr:row>9</xdr:row>
      <xdr:rowOff>844896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0ED93BD-25D8-4B6F-A6ED-F69AD755D49F}"/>
            </a:ext>
          </a:extLst>
        </xdr:cNvPr>
        <xdr:cNvSpPr txBox="1"/>
      </xdr:nvSpPr>
      <xdr:spPr>
        <a:xfrm>
          <a:off x="7923877" y="1899690"/>
          <a:ext cx="3055734" cy="1328188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h-TH" sz="1200" b="1">
              <a:latin typeface="TH Sarabun New" panose="020B0500040200020003" pitchFamily="34" charset="-34"/>
              <a:cs typeface="TH Sarabun New" panose="020B0500040200020003" pitchFamily="34" charset="-34"/>
            </a:rPr>
            <a:t>เกณฑ์ระดับคะแนน</a:t>
          </a:r>
        </a:p>
        <a:p>
          <a:r>
            <a:rPr lang="th-TH" sz="1200" b="0" i="0" u="none" strike="noStrike">
              <a:solidFill>
                <a:schemeClr val="dk1"/>
              </a:solidFill>
              <a:effectLst/>
              <a:latin typeface="TH Sarabun New" panose="020B0500040200020003" pitchFamily="34" charset="-34"/>
              <a:ea typeface="+mn-ea"/>
              <a:cs typeface="TH Sarabun New" panose="020B0500040200020003" pitchFamily="34" charset="-34"/>
            </a:rPr>
            <a:t>5 คะแนน: แสดงออกอย่างโดดเด่น / เกินความคาดหวังอย่างชัดเจน</a:t>
          </a:r>
          <a:r>
            <a:rPr lang="th-TH" sz="1200">
              <a:latin typeface="TH Sarabun New" panose="020B0500040200020003" pitchFamily="34" charset="-34"/>
              <a:cs typeface="TH Sarabun New" panose="020B0500040200020003" pitchFamily="34" charset="-34"/>
            </a:rPr>
            <a:t> </a:t>
          </a:r>
          <a:endParaRPr lang="en-US" sz="1200">
            <a:latin typeface="TH Sarabun New" panose="020B0500040200020003" pitchFamily="34" charset="-34"/>
            <a:cs typeface="TH Sarabun New" panose="020B0500040200020003" pitchFamily="34" charset="-34"/>
          </a:endParaRPr>
        </a:p>
        <a:p>
          <a:r>
            <a:rPr lang="th-TH" sz="1200" b="0" i="0" u="none" strike="noStrike">
              <a:solidFill>
                <a:schemeClr val="dk1"/>
              </a:solidFill>
              <a:effectLst/>
              <a:latin typeface="TH Sarabun New" panose="020B0500040200020003" pitchFamily="34" charset="-34"/>
              <a:ea typeface="+mn-ea"/>
              <a:cs typeface="TH Sarabun New" panose="020B0500040200020003" pitchFamily="34" charset="-34"/>
            </a:rPr>
            <a:t>4 คะแนน: แสดงออกอย่างชัดเจน / สอดคล้องตามเกณฑ์มาตรฐานที่ดี</a:t>
          </a:r>
          <a:r>
            <a:rPr lang="th-TH" sz="1200">
              <a:latin typeface="TH Sarabun New" panose="020B0500040200020003" pitchFamily="34" charset="-34"/>
              <a:cs typeface="TH Sarabun New" panose="020B0500040200020003" pitchFamily="34" charset="-34"/>
            </a:rPr>
            <a:t> </a:t>
          </a:r>
          <a:endParaRPr lang="en-US" sz="1200">
            <a:latin typeface="TH Sarabun New" panose="020B0500040200020003" pitchFamily="34" charset="-34"/>
            <a:cs typeface="TH Sarabun New" panose="020B0500040200020003" pitchFamily="34" charset="-34"/>
          </a:endParaRPr>
        </a:p>
        <a:p>
          <a:r>
            <a:rPr lang="th-TH" sz="1200" b="0" i="0" u="none" strike="noStrike">
              <a:solidFill>
                <a:schemeClr val="dk1"/>
              </a:solidFill>
              <a:effectLst/>
              <a:latin typeface="TH Sarabun New" panose="020B0500040200020003" pitchFamily="34" charset="-34"/>
              <a:ea typeface="+mn-ea"/>
              <a:cs typeface="TH Sarabun New" panose="020B0500040200020003" pitchFamily="34" charset="-34"/>
            </a:rPr>
            <a:t>3 คะแนน: แสดงออกปานกลาง / เป็นไปตามเกณฑ์มาตรฐานพื้นฐาน</a:t>
          </a:r>
          <a:r>
            <a:rPr lang="th-TH" sz="1200">
              <a:latin typeface="TH Sarabun New" panose="020B0500040200020003" pitchFamily="34" charset="-34"/>
              <a:cs typeface="TH Sarabun New" panose="020B0500040200020003" pitchFamily="34" charset="-34"/>
            </a:rPr>
            <a:t> </a:t>
          </a:r>
          <a:endParaRPr lang="en-US" sz="1200">
            <a:latin typeface="TH Sarabun New" panose="020B0500040200020003" pitchFamily="34" charset="-34"/>
            <a:cs typeface="TH Sarabun New" panose="020B0500040200020003" pitchFamily="34" charset="-34"/>
          </a:endParaRPr>
        </a:p>
        <a:p>
          <a:r>
            <a:rPr lang="th-TH" sz="1200" b="0" i="0" u="none" strike="noStrike">
              <a:solidFill>
                <a:schemeClr val="dk1"/>
              </a:solidFill>
              <a:effectLst/>
              <a:latin typeface="TH Sarabun New" panose="020B0500040200020003" pitchFamily="34" charset="-34"/>
              <a:ea typeface="+mn-ea"/>
              <a:cs typeface="TH Sarabun New" panose="020B0500040200020003" pitchFamily="34" charset="-34"/>
            </a:rPr>
            <a:t>2 คะแนน: แสดงออกน้อย/ต่ำกว่าเกณฑ์มาตรฐานที่คาดหวัง</a:t>
          </a:r>
          <a:r>
            <a:rPr lang="th-TH" sz="1200">
              <a:latin typeface="TH Sarabun New" panose="020B0500040200020003" pitchFamily="34" charset="-34"/>
              <a:cs typeface="TH Sarabun New" panose="020B0500040200020003" pitchFamily="34" charset="-34"/>
            </a:rPr>
            <a:t> </a:t>
          </a:r>
          <a:endParaRPr lang="en-US" sz="1200">
            <a:latin typeface="TH Sarabun New" panose="020B0500040200020003" pitchFamily="34" charset="-34"/>
            <a:cs typeface="TH Sarabun New" panose="020B0500040200020003" pitchFamily="34" charset="-34"/>
          </a:endParaRPr>
        </a:p>
        <a:p>
          <a:r>
            <a:rPr lang="th-TH" sz="1200" b="0" i="0" u="none" strike="noStrike">
              <a:solidFill>
                <a:schemeClr val="dk1"/>
              </a:solidFill>
              <a:effectLst/>
              <a:latin typeface="TH Sarabun New" panose="020B0500040200020003" pitchFamily="34" charset="-34"/>
              <a:ea typeface="+mn-ea"/>
              <a:cs typeface="TH Sarabun New" panose="020B0500040200020003" pitchFamily="34" charset="-34"/>
            </a:rPr>
            <a:t>1 คะแนน: ไม่แสดงออก / ไม่สอดคล้องตามเกณฑ์มาตรฐาน</a:t>
          </a:r>
          <a:r>
            <a:rPr lang="th-TH" sz="1200">
              <a:latin typeface="TH Sarabun New" panose="020B0500040200020003" pitchFamily="34" charset="-34"/>
              <a:cs typeface="TH Sarabun New" panose="020B0500040200020003" pitchFamily="34" charset="-34"/>
            </a:rPr>
            <a:t> </a:t>
          </a:r>
          <a:endParaRPr lang="en-US" sz="1200">
            <a:latin typeface="TH Sarabun New" panose="020B0500040200020003" pitchFamily="34" charset="-34"/>
            <a:cs typeface="TH Sarabun New" panose="020B0500040200020003" pitchFamily="34" charset="-34"/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66732</xdr:colOff>
          <xdr:row>33</xdr:row>
          <xdr:rowOff>98829</xdr:rowOff>
        </xdr:from>
        <xdr:to>
          <xdr:col>3</xdr:col>
          <xdr:colOff>343823</xdr:colOff>
          <xdr:row>35</xdr:row>
          <xdr:rowOff>76200</xdr:rowOff>
        </xdr:to>
        <xdr:sp macro="" textlink="">
          <xdr:nvSpPr>
            <xdr:cNvPr id="3073" name="Check Box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C402AF81-D54E-41CE-897C-9B317E0BA5F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465975</xdr:colOff>
          <xdr:row>33</xdr:row>
          <xdr:rowOff>101483</xdr:rowOff>
        </xdr:from>
        <xdr:to>
          <xdr:col>5</xdr:col>
          <xdr:colOff>266701</xdr:colOff>
          <xdr:row>35</xdr:row>
          <xdr:rowOff>62114</xdr:rowOff>
        </xdr:to>
        <xdr:sp macro="" textlink="">
          <xdr:nvSpPr>
            <xdr:cNvPr id="3074" name="Check Box 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4533E089-7EB5-437E-A39A-F9510E0B2EA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19859</xdr:colOff>
      <xdr:row>8</xdr:row>
      <xdr:rowOff>15472</xdr:rowOff>
    </xdr:from>
    <xdr:to>
      <xdr:col>13</xdr:col>
      <xdr:colOff>554066</xdr:colOff>
      <xdr:row>9</xdr:row>
      <xdr:rowOff>844896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C09B97B-C3A3-4A78-A080-FCFA771023B2}"/>
            </a:ext>
          </a:extLst>
        </xdr:cNvPr>
        <xdr:cNvSpPr txBox="1"/>
      </xdr:nvSpPr>
      <xdr:spPr>
        <a:xfrm>
          <a:off x="7018829" y="1900152"/>
          <a:ext cx="3064047" cy="1323454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h-TH" sz="1200" b="1">
              <a:latin typeface="TH Sarabun New" panose="020B0500040200020003" pitchFamily="34" charset="-34"/>
              <a:cs typeface="TH Sarabun New" panose="020B0500040200020003" pitchFamily="34" charset="-34"/>
            </a:rPr>
            <a:t>เกณฑ์ระดับคะแนน</a:t>
          </a:r>
        </a:p>
        <a:p>
          <a:r>
            <a:rPr lang="th-TH" sz="1200" b="0" i="0" u="none" strike="noStrike">
              <a:solidFill>
                <a:schemeClr val="dk1"/>
              </a:solidFill>
              <a:effectLst/>
              <a:latin typeface="TH Sarabun New" panose="020B0500040200020003" pitchFamily="34" charset="-34"/>
              <a:ea typeface="+mn-ea"/>
              <a:cs typeface="TH Sarabun New" panose="020B0500040200020003" pitchFamily="34" charset="-34"/>
            </a:rPr>
            <a:t>5 คะแนน: แสดงออกอย่างโดดเด่น / เกินความคาดหวังอย่างชัดเจน</a:t>
          </a:r>
          <a:r>
            <a:rPr lang="th-TH" sz="1200">
              <a:latin typeface="TH Sarabun New" panose="020B0500040200020003" pitchFamily="34" charset="-34"/>
              <a:cs typeface="TH Sarabun New" panose="020B0500040200020003" pitchFamily="34" charset="-34"/>
            </a:rPr>
            <a:t> </a:t>
          </a:r>
          <a:endParaRPr lang="en-US" sz="1200">
            <a:latin typeface="TH Sarabun New" panose="020B0500040200020003" pitchFamily="34" charset="-34"/>
            <a:cs typeface="TH Sarabun New" panose="020B0500040200020003" pitchFamily="34" charset="-34"/>
          </a:endParaRPr>
        </a:p>
        <a:p>
          <a:r>
            <a:rPr lang="th-TH" sz="1200" b="0" i="0" u="none" strike="noStrike">
              <a:solidFill>
                <a:schemeClr val="dk1"/>
              </a:solidFill>
              <a:effectLst/>
              <a:latin typeface="TH Sarabun New" panose="020B0500040200020003" pitchFamily="34" charset="-34"/>
              <a:ea typeface="+mn-ea"/>
              <a:cs typeface="TH Sarabun New" panose="020B0500040200020003" pitchFamily="34" charset="-34"/>
            </a:rPr>
            <a:t>4 คะแนน: แสดงออกอย่างชัดเจน / สอดคล้องตามเกณฑ์มาตรฐานที่ดี</a:t>
          </a:r>
          <a:r>
            <a:rPr lang="th-TH" sz="1200">
              <a:latin typeface="TH Sarabun New" panose="020B0500040200020003" pitchFamily="34" charset="-34"/>
              <a:cs typeface="TH Sarabun New" panose="020B0500040200020003" pitchFamily="34" charset="-34"/>
            </a:rPr>
            <a:t> </a:t>
          </a:r>
          <a:endParaRPr lang="en-US" sz="1200">
            <a:latin typeface="TH Sarabun New" panose="020B0500040200020003" pitchFamily="34" charset="-34"/>
            <a:cs typeface="TH Sarabun New" panose="020B0500040200020003" pitchFamily="34" charset="-34"/>
          </a:endParaRPr>
        </a:p>
        <a:p>
          <a:r>
            <a:rPr lang="th-TH" sz="1200" b="0" i="0" u="none" strike="noStrike">
              <a:solidFill>
                <a:schemeClr val="dk1"/>
              </a:solidFill>
              <a:effectLst/>
              <a:latin typeface="TH Sarabun New" panose="020B0500040200020003" pitchFamily="34" charset="-34"/>
              <a:ea typeface="+mn-ea"/>
              <a:cs typeface="TH Sarabun New" panose="020B0500040200020003" pitchFamily="34" charset="-34"/>
            </a:rPr>
            <a:t>3 คะแนน: แสดงออกปานกลาง / เป็นไปตามเกณฑ์มาตรฐานพื้นฐาน</a:t>
          </a:r>
          <a:r>
            <a:rPr lang="th-TH" sz="1200">
              <a:latin typeface="TH Sarabun New" panose="020B0500040200020003" pitchFamily="34" charset="-34"/>
              <a:cs typeface="TH Sarabun New" panose="020B0500040200020003" pitchFamily="34" charset="-34"/>
            </a:rPr>
            <a:t> </a:t>
          </a:r>
          <a:endParaRPr lang="en-US" sz="1200">
            <a:latin typeface="TH Sarabun New" panose="020B0500040200020003" pitchFamily="34" charset="-34"/>
            <a:cs typeface="TH Sarabun New" panose="020B0500040200020003" pitchFamily="34" charset="-34"/>
          </a:endParaRPr>
        </a:p>
        <a:p>
          <a:r>
            <a:rPr lang="th-TH" sz="1200" b="0" i="0" u="none" strike="noStrike">
              <a:solidFill>
                <a:schemeClr val="dk1"/>
              </a:solidFill>
              <a:effectLst/>
              <a:latin typeface="TH Sarabun New" panose="020B0500040200020003" pitchFamily="34" charset="-34"/>
              <a:ea typeface="+mn-ea"/>
              <a:cs typeface="TH Sarabun New" panose="020B0500040200020003" pitchFamily="34" charset="-34"/>
            </a:rPr>
            <a:t>2 คะแนน: แสดงออกน้อย/ต่ำกว่าเกณฑ์มาตรฐานที่คาดหวัง</a:t>
          </a:r>
          <a:r>
            <a:rPr lang="th-TH" sz="1200">
              <a:latin typeface="TH Sarabun New" panose="020B0500040200020003" pitchFamily="34" charset="-34"/>
              <a:cs typeface="TH Sarabun New" panose="020B0500040200020003" pitchFamily="34" charset="-34"/>
            </a:rPr>
            <a:t> </a:t>
          </a:r>
          <a:endParaRPr lang="en-US" sz="1200">
            <a:latin typeface="TH Sarabun New" panose="020B0500040200020003" pitchFamily="34" charset="-34"/>
            <a:cs typeface="TH Sarabun New" panose="020B0500040200020003" pitchFamily="34" charset="-34"/>
          </a:endParaRPr>
        </a:p>
        <a:p>
          <a:r>
            <a:rPr lang="th-TH" sz="1200" b="0" i="0" u="none" strike="noStrike">
              <a:solidFill>
                <a:schemeClr val="dk1"/>
              </a:solidFill>
              <a:effectLst/>
              <a:latin typeface="TH Sarabun New" panose="020B0500040200020003" pitchFamily="34" charset="-34"/>
              <a:ea typeface="+mn-ea"/>
              <a:cs typeface="TH Sarabun New" panose="020B0500040200020003" pitchFamily="34" charset="-34"/>
            </a:rPr>
            <a:t>1 คะแนน: ไม่แสดงออก / ไม่สอดคล้องตามเกณฑ์มาตรฐาน</a:t>
          </a:r>
          <a:r>
            <a:rPr lang="th-TH" sz="1200">
              <a:latin typeface="TH Sarabun New" panose="020B0500040200020003" pitchFamily="34" charset="-34"/>
              <a:cs typeface="TH Sarabun New" panose="020B0500040200020003" pitchFamily="34" charset="-34"/>
            </a:rPr>
            <a:t> </a:t>
          </a:r>
          <a:endParaRPr lang="en-US" sz="1200">
            <a:latin typeface="TH Sarabun New" panose="020B0500040200020003" pitchFamily="34" charset="-34"/>
            <a:cs typeface="TH Sarabun New" panose="020B0500040200020003" pitchFamily="34" charset="-34"/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66732</xdr:colOff>
          <xdr:row>33</xdr:row>
          <xdr:rowOff>98829</xdr:rowOff>
        </xdr:from>
        <xdr:to>
          <xdr:col>3</xdr:col>
          <xdr:colOff>343823</xdr:colOff>
          <xdr:row>35</xdr:row>
          <xdr:rowOff>76200</xdr:rowOff>
        </xdr:to>
        <xdr:sp macro="" textlink="">
          <xdr:nvSpPr>
            <xdr:cNvPr id="8193" name="Check Box 1" hidden="1">
              <a:extLst>
                <a:ext uri="{63B3BB69-23CF-44E3-9099-C40C66FF867C}">
                  <a14:compatExt spid="_x0000_s8193"/>
                </a:ext>
                <a:ext uri="{FF2B5EF4-FFF2-40B4-BE49-F238E27FC236}">
                  <a16:creationId xmlns:a16="http://schemas.microsoft.com/office/drawing/2014/main" id="{1340EFFA-02B8-43E5-B756-2F0FB3A965D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465975</xdr:colOff>
          <xdr:row>33</xdr:row>
          <xdr:rowOff>101483</xdr:rowOff>
        </xdr:from>
        <xdr:to>
          <xdr:col>5</xdr:col>
          <xdr:colOff>266701</xdr:colOff>
          <xdr:row>35</xdr:row>
          <xdr:rowOff>63384</xdr:rowOff>
        </xdr:to>
        <xdr:sp macro="" textlink="">
          <xdr:nvSpPr>
            <xdr:cNvPr id="8194" name="Check Box 2" hidden="1">
              <a:extLst>
                <a:ext uri="{63B3BB69-23CF-44E3-9099-C40C66FF867C}">
                  <a14:compatExt spid="_x0000_s8194"/>
                </a:ext>
                <a:ext uri="{FF2B5EF4-FFF2-40B4-BE49-F238E27FC236}">
                  <a16:creationId xmlns:a16="http://schemas.microsoft.com/office/drawing/2014/main" id="{477DBEE9-03EE-42B4-A720-E6DA47F014A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19859</xdr:colOff>
      <xdr:row>8</xdr:row>
      <xdr:rowOff>15472</xdr:rowOff>
    </xdr:from>
    <xdr:to>
      <xdr:col>13</xdr:col>
      <xdr:colOff>554066</xdr:colOff>
      <xdr:row>9</xdr:row>
      <xdr:rowOff>844896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19A323C-658A-4C1D-916B-F1850328984E}"/>
            </a:ext>
          </a:extLst>
        </xdr:cNvPr>
        <xdr:cNvSpPr txBox="1"/>
      </xdr:nvSpPr>
      <xdr:spPr>
        <a:xfrm>
          <a:off x="7018829" y="1900152"/>
          <a:ext cx="3064047" cy="1323454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h-TH" sz="1200" b="1">
              <a:latin typeface="TH Sarabun New" panose="020B0500040200020003" pitchFamily="34" charset="-34"/>
              <a:cs typeface="TH Sarabun New" panose="020B0500040200020003" pitchFamily="34" charset="-34"/>
            </a:rPr>
            <a:t>เกณฑ์ระดับคะแนน</a:t>
          </a:r>
        </a:p>
        <a:p>
          <a:r>
            <a:rPr lang="th-TH" sz="1200" b="0" i="0" u="none" strike="noStrike">
              <a:solidFill>
                <a:schemeClr val="dk1"/>
              </a:solidFill>
              <a:effectLst/>
              <a:latin typeface="TH Sarabun New" panose="020B0500040200020003" pitchFamily="34" charset="-34"/>
              <a:ea typeface="+mn-ea"/>
              <a:cs typeface="TH Sarabun New" panose="020B0500040200020003" pitchFamily="34" charset="-34"/>
            </a:rPr>
            <a:t>5 คะแนน: แสดงออกอย่างโดดเด่น / เกินความคาดหวังอย่างชัดเจน</a:t>
          </a:r>
          <a:r>
            <a:rPr lang="th-TH" sz="1200">
              <a:latin typeface="TH Sarabun New" panose="020B0500040200020003" pitchFamily="34" charset="-34"/>
              <a:cs typeface="TH Sarabun New" panose="020B0500040200020003" pitchFamily="34" charset="-34"/>
            </a:rPr>
            <a:t> </a:t>
          </a:r>
          <a:endParaRPr lang="en-US" sz="1200">
            <a:latin typeface="TH Sarabun New" panose="020B0500040200020003" pitchFamily="34" charset="-34"/>
            <a:cs typeface="TH Sarabun New" panose="020B0500040200020003" pitchFamily="34" charset="-34"/>
          </a:endParaRPr>
        </a:p>
        <a:p>
          <a:r>
            <a:rPr lang="th-TH" sz="1200" b="0" i="0" u="none" strike="noStrike">
              <a:solidFill>
                <a:schemeClr val="dk1"/>
              </a:solidFill>
              <a:effectLst/>
              <a:latin typeface="TH Sarabun New" panose="020B0500040200020003" pitchFamily="34" charset="-34"/>
              <a:ea typeface="+mn-ea"/>
              <a:cs typeface="TH Sarabun New" panose="020B0500040200020003" pitchFamily="34" charset="-34"/>
            </a:rPr>
            <a:t>4 คะแนน: แสดงออกอย่างชัดเจน / สอดคล้องตามเกณฑ์มาตรฐานที่ดี</a:t>
          </a:r>
          <a:r>
            <a:rPr lang="th-TH" sz="1200">
              <a:latin typeface="TH Sarabun New" panose="020B0500040200020003" pitchFamily="34" charset="-34"/>
              <a:cs typeface="TH Sarabun New" panose="020B0500040200020003" pitchFamily="34" charset="-34"/>
            </a:rPr>
            <a:t> </a:t>
          </a:r>
          <a:endParaRPr lang="en-US" sz="1200">
            <a:latin typeface="TH Sarabun New" panose="020B0500040200020003" pitchFamily="34" charset="-34"/>
            <a:cs typeface="TH Sarabun New" panose="020B0500040200020003" pitchFamily="34" charset="-34"/>
          </a:endParaRPr>
        </a:p>
        <a:p>
          <a:r>
            <a:rPr lang="th-TH" sz="1200" b="0" i="0" u="none" strike="noStrike">
              <a:solidFill>
                <a:schemeClr val="dk1"/>
              </a:solidFill>
              <a:effectLst/>
              <a:latin typeface="TH Sarabun New" panose="020B0500040200020003" pitchFamily="34" charset="-34"/>
              <a:ea typeface="+mn-ea"/>
              <a:cs typeface="TH Sarabun New" panose="020B0500040200020003" pitchFamily="34" charset="-34"/>
            </a:rPr>
            <a:t>3 คะแนน: แสดงออกปานกลาง / เป็นไปตามเกณฑ์มาตรฐานพื้นฐาน</a:t>
          </a:r>
          <a:r>
            <a:rPr lang="th-TH" sz="1200">
              <a:latin typeface="TH Sarabun New" panose="020B0500040200020003" pitchFamily="34" charset="-34"/>
              <a:cs typeface="TH Sarabun New" panose="020B0500040200020003" pitchFamily="34" charset="-34"/>
            </a:rPr>
            <a:t> </a:t>
          </a:r>
          <a:endParaRPr lang="en-US" sz="1200">
            <a:latin typeface="TH Sarabun New" panose="020B0500040200020003" pitchFamily="34" charset="-34"/>
            <a:cs typeface="TH Sarabun New" panose="020B0500040200020003" pitchFamily="34" charset="-34"/>
          </a:endParaRPr>
        </a:p>
        <a:p>
          <a:r>
            <a:rPr lang="th-TH" sz="1200" b="0" i="0" u="none" strike="noStrike">
              <a:solidFill>
                <a:schemeClr val="dk1"/>
              </a:solidFill>
              <a:effectLst/>
              <a:latin typeface="TH Sarabun New" panose="020B0500040200020003" pitchFamily="34" charset="-34"/>
              <a:ea typeface="+mn-ea"/>
              <a:cs typeface="TH Sarabun New" panose="020B0500040200020003" pitchFamily="34" charset="-34"/>
            </a:rPr>
            <a:t>2 คะแนน: แสดงออกน้อย/ต่ำกว่าเกณฑ์มาตรฐานที่คาดหวัง</a:t>
          </a:r>
          <a:r>
            <a:rPr lang="th-TH" sz="1200">
              <a:latin typeface="TH Sarabun New" panose="020B0500040200020003" pitchFamily="34" charset="-34"/>
              <a:cs typeface="TH Sarabun New" panose="020B0500040200020003" pitchFamily="34" charset="-34"/>
            </a:rPr>
            <a:t> </a:t>
          </a:r>
          <a:endParaRPr lang="en-US" sz="1200">
            <a:latin typeface="TH Sarabun New" panose="020B0500040200020003" pitchFamily="34" charset="-34"/>
            <a:cs typeface="TH Sarabun New" panose="020B0500040200020003" pitchFamily="34" charset="-34"/>
          </a:endParaRPr>
        </a:p>
        <a:p>
          <a:r>
            <a:rPr lang="th-TH" sz="1200" b="0" i="0" u="none" strike="noStrike">
              <a:solidFill>
                <a:schemeClr val="dk1"/>
              </a:solidFill>
              <a:effectLst/>
              <a:latin typeface="TH Sarabun New" panose="020B0500040200020003" pitchFamily="34" charset="-34"/>
              <a:ea typeface="+mn-ea"/>
              <a:cs typeface="TH Sarabun New" panose="020B0500040200020003" pitchFamily="34" charset="-34"/>
            </a:rPr>
            <a:t>1 คะแนน: ไม่แสดงออก / ไม่สอดคล้องตามเกณฑ์มาตรฐาน</a:t>
          </a:r>
          <a:r>
            <a:rPr lang="th-TH" sz="1200">
              <a:latin typeface="TH Sarabun New" panose="020B0500040200020003" pitchFamily="34" charset="-34"/>
              <a:cs typeface="TH Sarabun New" panose="020B0500040200020003" pitchFamily="34" charset="-34"/>
            </a:rPr>
            <a:t> </a:t>
          </a:r>
          <a:endParaRPr lang="en-US" sz="1200">
            <a:latin typeface="TH Sarabun New" panose="020B0500040200020003" pitchFamily="34" charset="-34"/>
            <a:cs typeface="TH Sarabun New" panose="020B0500040200020003" pitchFamily="34" charset="-34"/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66732</xdr:colOff>
          <xdr:row>33</xdr:row>
          <xdr:rowOff>98829</xdr:rowOff>
        </xdr:from>
        <xdr:to>
          <xdr:col>3</xdr:col>
          <xdr:colOff>343823</xdr:colOff>
          <xdr:row>35</xdr:row>
          <xdr:rowOff>76200</xdr:rowOff>
        </xdr:to>
        <xdr:sp macro="" textlink="">
          <xdr:nvSpPr>
            <xdr:cNvPr id="7169" name="Check Box 1" hidden="1">
              <a:extLst>
                <a:ext uri="{63B3BB69-23CF-44E3-9099-C40C66FF867C}">
                  <a14:compatExt spid="_x0000_s7169"/>
                </a:ext>
                <a:ext uri="{FF2B5EF4-FFF2-40B4-BE49-F238E27FC236}">
                  <a16:creationId xmlns:a16="http://schemas.microsoft.com/office/drawing/2014/main" id="{6409E890-8CF9-4C35-9BD9-8987110F063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465975</xdr:colOff>
          <xdr:row>33</xdr:row>
          <xdr:rowOff>101483</xdr:rowOff>
        </xdr:from>
        <xdr:to>
          <xdr:col>5</xdr:col>
          <xdr:colOff>266701</xdr:colOff>
          <xdr:row>35</xdr:row>
          <xdr:rowOff>63384</xdr:rowOff>
        </xdr:to>
        <xdr:sp macro="" textlink="">
          <xdr:nvSpPr>
            <xdr:cNvPr id="7170" name="Check Box 2" hidden="1">
              <a:extLst>
                <a:ext uri="{63B3BB69-23CF-44E3-9099-C40C66FF867C}">
                  <a14:compatExt spid="_x0000_s7170"/>
                </a:ext>
                <a:ext uri="{FF2B5EF4-FFF2-40B4-BE49-F238E27FC236}">
                  <a16:creationId xmlns:a16="http://schemas.microsoft.com/office/drawing/2014/main" id="{C5E6A9E9-990C-4903-8974-84207652EA3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4.xml"/><Relationship Id="rId4" Type="http://schemas.openxmlformats.org/officeDocument/2006/relationships/ctrlProp" Target="../ctrlProps/ctrlProp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5" Type="http://schemas.openxmlformats.org/officeDocument/2006/relationships/ctrlProp" Target="../ctrlProps/ctrlProp6.xml"/><Relationship Id="rId4" Type="http://schemas.openxmlformats.org/officeDocument/2006/relationships/ctrlProp" Target="../ctrlProps/ctrlProp5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5" Type="http://schemas.openxmlformats.org/officeDocument/2006/relationships/ctrlProp" Target="../ctrlProps/ctrlProp8.xml"/><Relationship Id="rId4" Type="http://schemas.openxmlformats.org/officeDocument/2006/relationships/ctrlProp" Target="../ctrlProps/ctrlProp7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5" Type="http://schemas.openxmlformats.org/officeDocument/2006/relationships/ctrlProp" Target="../ctrlProps/ctrlProp10.xml"/><Relationship Id="rId4" Type="http://schemas.openxmlformats.org/officeDocument/2006/relationships/ctrlProp" Target="../ctrlProps/ctrlProp9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5" Type="http://schemas.openxmlformats.org/officeDocument/2006/relationships/ctrlProp" Target="../ctrlProps/ctrlProp12.xml"/><Relationship Id="rId4" Type="http://schemas.openxmlformats.org/officeDocument/2006/relationships/ctrlProp" Target="../ctrlProps/ctrlProp1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4A36A-892C-4E04-B446-40683569A52E}">
  <sheetPr>
    <tabColor theme="0"/>
  </sheetPr>
  <dimension ref="B1:M41"/>
  <sheetViews>
    <sheetView topLeftCell="A6" zoomScale="110" zoomScaleNormal="110" zoomScaleSheetLayoutView="100" workbookViewId="0">
      <selection activeCell="N11" sqref="N11"/>
    </sheetView>
  </sheetViews>
  <sheetFormatPr defaultColWidth="9" defaultRowHeight="21"/>
  <cols>
    <col min="1" max="1" width="3.26953125" style="1" customWidth="1"/>
    <col min="2" max="2" width="14.26953125" style="1" customWidth="1"/>
    <col min="3" max="3" width="10.453125" style="1" customWidth="1"/>
    <col min="4" max="4" width="8.08984375" style="1" customWidth="1"/>
    <col min="5" max="5" width="6.7265625" style="1" bestFit="1" customWidth="1"/>
    <col min="6" max="6" width="40.90625" style="1" customWidth="1"/>
    <col min="7" max="11" width="8.08984375" style="1" customWidth="1"/>
    <col min="12" max="12" width="9.26953125" style="1" customWidth="1"/>
    <col min="13" max="16384" width="9" style="1"/>
  </cols>
  <sheetData>
    <row r="1" spans="2:13" ht="26.5" customHeight="1">
      <c r="G1" s="54"/>
      <c r="H1" s="54"/>
      <c r="I1" s="54"/>
      <c r="J1" s="54"/>
      <c r="K1" s="54"/>
    </row>
    <row r="2" spans="2:13">
      <c r="B2" s="57" t="s">
        <v>0</v>
      </c>
      <c r="C2" s="57"/>
      <c r="D2" s="57"/>
      <c r="E2" s="57"/>
      <c r="F2" s="57"/>
      <c r="G2" s="55"/>
      <c r="H2" s="55"/>
      <c r="I2" s="55"/>
      <c r="J2" s="55"/>
      <c r="K2" s="54"/>
    </row>
    <row r="3" spans="2:13" ht="7.5" customHeight="1">
      <c r="G3" s="54"/>
      <c r="H3" s="54"/>
      <c r="I3" s="54"/>
      <c r="J3" s="54"/>
      <c r="K3" s="54"/>
    </row>
    <row r="4" spans="2:13" ht="18" customHeight="1">
      <c r="B4" s="8" t="s">
        <v>1</v>
      </c>
      <c r="C4" s="28"/>
      <c r="D4" s="28"/>
      <c r="E4" s="26"/>
      <c r="F4" s="50"/>
      <c r="G4" s="56"/>
      <c r="H4" s="47"/>
      <c r="I4" s="47"/>
      <c r="J4" s="47"/>
      <c r="K4" s="47"/>
    </row>
    <row r="5" spans="2:13" ht="18" customHeight="1">
      <c r="B5" s="8" t="s">
        <v>2</v>
      </c>
      <c r="C5" s="51"/>
      <c r="D5" s="52"/>
      <c r="E5" s="52"/>
      <c r="F5" s="53"/>
      <c r="G5" s="48"/>
      <c r="H5" s="49"/>
      <c r="I5" s="49"/>
      <c r="J5" s="49"/>
      <c r="K5" s="48"/>
    </row>
    <row r="6" spans="2:13" ht="18" customHeight="1">
      <c r="B6" s="8" t="s">
        <v>3</v>
      </c>
      <c r="C6" s="10" t="s">
        <v>4</v>
      </c>
      <c r="D6" s="10"/>
      <c r="E6" s="10"/>
      <c r="F6" s="53"/>
      <c r="G6" s="48"/>
      <c r="H6" s="49"/>
      <c r="I6" s="49"/>
      <c r="J6" s="49"/>
      <c r="K6" s="49"/>
    </row>
    <row r="7" spans="2:13" ht="18" customHeight="1">
      <c r="B7" s="8" t="s">
        <v>5</v>
      </c>
      <c r="C7" s="10"/>
      <c r="D7" s="10"/>
      <c r="E7" s="10"/>
      <c r="F7" s="53"/>
      <c r="G7" s="49"/>
      <c r="H7" s="49"/>
      <c r="I7" s="49"/>
      <c r="J7" s="49"/>
      <c r="K7" s="49"/>
    </row>
    <row r="8" spans="2:13">
      <c r="B8" s="48"/>
    </row>
    <row r="9" spans="2:13" ht="33" customHeight="1">
      <c r="B9" s="38" t="s">
        <v>6</v>
      </c>
      <c r="C9" s="38"/>
      <c r="D9" s="38"/>
      <c r="E9" s="35" t="s">
        <v>24</v>
      </c>
      <c r="F9" s="35" t="s">
        <v>23</v>
      </c>
      <c r="G9" s="5" t="s">
        <v>7</v>
      </c>
      <c r="H9" s="5" t="s">
        <v>7</v>
      </c>
      <c r="I9" s="5" t="s">
        <v>7</v>
      </c>
      <c r="J9" s="5" t="s">
        <v>7</v>
      </c>
      <c r="K9" s="5" t="s">
        <v>7</v>
      </c>
      <c r="L9" s="94" t="s">
        <v>13</v>
      </c>
      <c r="M9" s="93"/>
    </row>
    <row r="10" spans="2:13" ht="14.25" customHeight="1">
      <c r="B10" s="38"/>
      <c r="C10" s="38"/>
      <c r="D10" s="38"/>
      <c r="E10" s="37"/>
      <c r="F10" s="36"/>
      <c r="G10" s="7" t="s">
        <v>8</v>
      </c>
      <c r="H10" s="7" t="s">
        <v>9</v>
      </c>
      <c r="I10" s="7" t="s">
        <v>10</v>
      </c>
      <c r="J10" s="7" t="s">
        <v>11</v>
      </c>
      <c r="K10" s="7" t="s">
        <v>12</v>
      </c>
      <c r="L10" s="95"/>
      <c r="M10" s="93"/>
    </row>
    <row r="11" spans="2:13" s="23" customFormat="1" ht="72">
      <c r="B11" s="39" t="s">
        <v>25</v>
      </c>
      <c r="C11" s="39"/>
      <c r="D11" s="39"/>
      <c r="E11" s="86">
        <v>25</v>
      </c>
      <c r="F11" s="22" t="s">
        <v>26</v>
      </c>
      <c r="G11" s="20">
        <f>EM!H10</f>
        <v>0</v>
      </c>
      <c r="H11" s="96">
        <f>'MD-BPT'!H10</f>
        <v>0</v>
      </c>
      <c r="I11" s="97">
        <f>'MD TARCO'!H10</f>
        <v>0</v>
      </c>
      <c r="J11" s="96">
        <f>'MD-BPS'!H10</f>
        <v>0</v>
      </c>
      <c r="K11" s="97">
        <f>HZ!H10</f>
        <v>0</v>
      </c>
      <c r="L11" s="97">
        <f>AVERAGE(G11:K11)</f>
        <v>0</v>
      </c>
    </row>
    <row r="12" spans="2:13" ht="72">
      <c r="B12" s="40" t="s">
        <v>27</v>
      </c>
      <c r="C12" s="40"/>
      <c r="D12" s="40"/>
      <c r="E12" s="21">
        <v>25</v>
      </c>
      <c r="F12" s="19" t="s">
        <v>28</v>
      </c>
      <c r="G12" s="20">
        <f>EM!H11</f>
        <v>0</v>
      </c>
      <c r="H12" s="20">
        <f>'MD-BPT'!H11</f>
        <v>0</v>
      </c>
      <c r="I12" s="20">
        <f>'MD TARCO'!H11</f>
        <v>0</v>
      </c>
      <c r="J12" s="20">
        <f>'MD-BPS'!H11</f>
        <v>0</v>
      </c>
      <c r="K12" s="98">
        <f>HZ!H11</f>
        <v>0</v>
      </c>
      <c r="L12" s="98">
        <f t="shared" ref="L12:L16" si="0">AVERAGE(G12:K12)</f>
        <v>0</v>
      </c>
    </row>
    <row r="13" spans="2:13" ht="72">
      <c r="B13" s="40" t="s">
        <v>29</v>
      </c>
      <c r="C13" s="40"/>
      <c r="D13" s="40"/>
      <c r="E13" s="21">
        <v>15</v>
      </c>
      <c r="F13" s="25" t="s">
        <v>30</v>
      </c>
      <c r="G13" s="20">
        <f>EM!H12</f>
        <v>0</v>
      </c>
      <c r="H13" s="20">
        <f>'MD-BPT'!H12</f>
        <v>0</v>
      </c>
      <c r="I13" s="98">
        <f>'MD TARCO'!H12</f>
        <v>0</v>
      </c>
      <c r="J13" s="101">
        <f>'MD-BPS'!H12</f>
        <v>0</v>
      </c>
      <c r="K13" s="98">
        <f>HZ!H12</f>
        <v>0</v>
      </c>
      <c r="L13" s="98">
        <f t="shared" si="0"/>
        <v>0</v>
      </c>
    </row>
    <row r="14" spans="2:13" ht="72">
      <c r="B14" s="41" t="s">
        <v>31</v>
      </c>
      <c r="C14" s="42"/>
      <c r="D14" s="43"/>
      <c r="E14" s="21">
        <v>15</v>
      </c>
      <c r="F14" s="27" t="s">
        <v>32</v>
      </c>
      <c r="G14" s="20">
        <f>EM!H13</f>
        <v>0</v>
      </c>
      <c r="H14" s="20">
        <f>'MD-BPT'!H13</f>
        <v>0</v>
      </c>
      <c r="I14" s="20">
        <f>'MD TARCO'!H13</f>
        <v>0</v>
      </c>
      <c r="J14" s="98">
        <f>'MD-BPS'!H13</f>
        <v>0</v>
      </c>
      <c r="K14" s="98">
        <f>HZ!H13</f>
        <v>0</v>
      </c>
      <c r="L14" s="20">
        <f t="shared" si="0"/>
        <v>0</v>
      </c>
    </row>
    <row r="15" spans="2:13" ht="72">
      <c r="B15" s="41" t="s">
        <v>33</v>
      </c>
      <c r="C15" s="42"/>
      <c r="D15" s="43"/>
      <c r="E15" s="21">
        <v>10</v>
      </c>
      <c r="F15" s="45" t="s">
        <v>34</v>
      </c>
      <c r="G15" s="20">
        <f>EM!H14</f>
        <v>0</v>
      </c>
      <c r="H15" s="20">
        <f>'MD-BPT'!H14</f>
        <v>0</v>
      </c>
      <c r="I15" s="20">
        <f>'MD TARCO'!H14</f>
        <v>0</v>
      </c>
      <c r="J15" s="98">
        <f>'MD-BPS'!H14</f>
        <v>0</v>
      </c>
      <c r="K15" s="98">
        <f>HZ!H14</f>
        <v>0</v>
      </c>
      <c r="L15" s="98">
        <f t="shared" si="0"/>
        <v>0</v>
      </c>
    </row>
    <row r="16" spans="2:13" ht="88.5" customHeight="1">
      <c r="B16" s="30" t="s">
        <v>35</v>
      </c>
      <c r="C16" s="31"/>
      <c r="D16" s="32"/>
      <c r="E16" s="88">
        <v>10</v>
      </c>
      <c r="F16" s="89" t="s">
        <v>36</v>
      </c>
      <c r="G16" s="20">
        <f>EM!H15</f>
        <v>0</v>
      </c>
      <c r="H16" s="100">
        <f>'MD-BPT'!H15</f>
        <v>0</v>
      </c>
      <c r="I16" s="99">
        <f>'MD TARCO'!H15</f>
        <v>0</v>
      </c>
      <c r="J16" s="99">
        <f>'MD-BPS'!H15</f>
        <v>0</v>
      </c>
      <c r="K16" s="99">
        <f>HZ!H15</f>
        <v>0</v>
      </c>
      <c r="L16" s="99">
        <f t="shared" si="0"/>
        <v>0</v>
      </c>
    </row>
    <row r="17" spans="2:12" ht="26.5" customHeight="1">
      <c r="B17" s="71" t="s">
        <v>44</v>
      </c>
      <c r="C17" s="71"/>
      <c r="D17" s="71"/>
      <c r="E17" s="71"/>
      <c r="F17" s="72"/>
      <c r="G17" s="92">
        <f t="shared" ref="G17:H17" si="1">SUM(G11:G16)</f>
        <v>0</v>
      </c>
      <c r="H17" s="92">
        <f t="shared" si="1"/>
        <v>0</v>
      </c>
      <c r="I17" s="92">
        <f>SUM(I11:I16)</f>
        <v>0</v>
      </c>
      <c r="J17" s="92">
        <f t="shared" ref="J17:K17" si="2">SUM(J11:J16)</f>
        <v>0</v>
      </c>
      <c r="K17" s="92">
        <f t="shared" si="2"/>
        <v>0</v>
      </c>
      <c r="L17" s="17"/>
    </row>
    <row r="18" spans="2:12" ht="14.15" customHeight="1"/>
    <row r="19" spans="2:12" ht="14.25" customHeight="1">
      <c r="B19" s="8" t="s">
        <v>14</v>
      </c>
    </row>
    <row r="20" spans="2:12">
      <c r="B20" s="33"/>
      <c r="C20" s="33"/>
      <c r="D20" s="33"/>
      <c r="E20" s="33"/>
      <c r="F20" s="33"/>
      <c r="G20" s="33"/>
      <c r="H20" s="33"/>
      <c r="I20" s="33"/>
      <c r="J20" s="33"/>
      <c r="K20" s="3"/>
    </row>
    <row r="21" spans="2:12">
      <c r="B21" s="9"/>
      <c r="C21" s="9"/>
      <c r="D21" s="9"/>
      <c r="E21" s="9"/>
      <c r="F21" s="9"/>
      <c r="G21" s="9"/>
      <c r="H21" s="9"/>
      <c r="I21" s="9"/>
      <c r="J21" s="9"/>
      <c r="K21" s="10"/>
    </row>
    <row r="22" spans="2:12" ht="14.25" customHeight="1">
      <c r="B22" s="34"/>
      <c r="C22" s="34"/>
      <c r="D22" s="34"/>
      <c r="E22" s="34"/>
      <c r="F22" s="34"/>
      <c r="G22" s="34"/>
      <c r="H22" s="34"/>
      <c r="I22" s="34"/>
      <c r="J22" s="34"/>
      <c r="K22" s="11"/>
    </row>
    <row r="23" spans="2:12" ht="14.25" customHeight="1">
      <c r="B23" s="12" t="s">
        <v>15</v>
      </c>
      <c r="C23" s="13"/>
      <c r="D23" s="13"/>
      <c r="E23" s="13"/>
      <c r="F23" s="13"/>
      <c r="G23" s="13"/>
      <c r="H23" s="13"/>
      <c r="I23" s="13"/>
      <c r="J23" s="13"/>
      <c r="K23" s="13"/>
    </row>
    <row r="24" spans="2:12">
      <c r="B24" s="9"/>
      <c r="C24" s="9"/>
      <c r="D24" s="9"/>
      <c r="E24" s="9"/>
      <c r="F24" s="9"/>
      <c r="G24" s="9"/>
      <c r="H24" s="9"/>
      <c r="I24" s="9"/>
      <c r="J24" s="9"/>
      <c r="K24" s="10"/>
    </row>
    <row r="25" spans="2:12">
      <c r="B25" s="9"/>
      <c r="C25" s="9"/>
      <c r="D25" s="9"/>
      <c r="E25" s="9"/>
      <c r="F25" s="9"/>
      <c r="G25" s="9"/>
      <c r="H25" s="9"/>
      <c r="I25" s="9"/>
      <c r="J25" s="9"/>
      <c r="K25" s="10"/>
    </row>
    <row r="26" spans="2:12" ht="14.15" customHeight="1"/>
    <row r="27" spans="2:12" ht="14.25" customHeight="1">
      <c r="B27" s="8" t="s">
        <v>16</v>
      </c>
    </row>
    <row r="28" spans="2:12">
      <c r="B28" s="9"/>
      <c r="C28" s="9"/>
      <c r="D28" s="9"/>
      <c r="E28" s="9"/>
      <c r="F28" s="9"/>
      <c r="G28" s="9"/>
      <c r="H28" s="9"/>
      <c r="I28" s="9"/>
      <c r="J28" s="9"/>
      <c r="K28" s="10"/>
    </row>
    <row r="29" spans="2:12">
      <c r="B29" s="9"/>
      <c r="C29" s="9"/>
      <c r="D29" s="9"/>
      <c r="E29" s="9"/>
      <c r="F29" s="9"/>
      <c r="G29" s="9"/>
      <c r="H29" s="9"/>
      <c r="I29" s="9"/>
      <c r="J29" s="9"/>
      <c r="K29" s="10"/>
    </row>
    <row r="30" spans="2:12" ht="13.5" customHeight="1"/>
    <row r="31" spans="2:12" ht="14.25" customHeight="1">
      <c r="B31" s="8" t="s">
        <v>17</v>
      </c>
    </row>
    <row r="32" spans="2:12">
      <c r="B32" s="9"/>
      <c r="C32" s="9"/>
      <c r="D32" s="9"/>
      <c r="E32" s="9"/>
      <c r="F32" s="9"/>
      <c r="G32" s="9"/>
      <c r="H32" s="9"/>
      <c r="I32" s="9"/>
      <c r="J32" s="9"/>
      <c r="K32" s="10"/>
    </row>
    <row r="33" spans="2:11">
      <c r="B33" s="9"/>
      <c r="C33" s="9"/>
      <c r="D33" s="9"/>
      <c r="E33" s="9"/>
      <c r="F33" s="9"/>
      <c r="G33" s="9"/>
      <c r="H33" s="9"/>
      <c r="I33" s="9"/>
      <c r="J33" s="9"/>
      <c r="K33" s="10"/>
    </row>
    <row r="34" spans="2:11" ht="13.5" customHeight="1"/>
    <row r="35" spans="2:11" ht="14.25" customHeight="1">
      <c r="B35" s="8" t="s">
        <v>18</v>
      </c>
      <c r="D35" s="8" t="s">
        <v>22</v>
      </c>
      <c r="E35" s="8"/>
      <c r="F35" s="8" t="s">
        <v>37</v>
      </c>
      <c r="G35" s="8"/>
    </row>
    <row r="36" spans="2:11" ht="14.25" customHeight="1"/>
    <row r="38" spans="2:11">
      <c r="B38" s="2"/>
      <c r="C38" s="15"/>
      <c r="D38" s="15"/>
      <c r="E38" s="18"/>
      <c r="F38" s="18"/>
      <c r="G38" s="15"/>
      <c r="H38" s="15"/>
      <c r="I38" s="15"/>
      <c r="J38" s="15"/>
    </row>
    <row r="39" spans="2:11">
      <c r="D39" s="14"/>
      <c r="E39" s="14"/>
      <c r="F39" s="14"/>
      <c r="G39" s="29"/>
      <c r="H39" s="29"/>
    </row>
    <row r="41" spans="2:11">
      <c r="H41" s="15"/>
    </row>
  </sheetData>
  <mergeCells count="15">
    <mergeCell ref="F9:F10"/>
    <mergeCell ref="E9:E10"/>
    <mergeCell ref="B9:D10"/>
    <mergeCell ref="B11:D11"/>
    <mergeCell ref="B12:D12"/>
    <mergeCell ref="B13:D13"/>
    <mergeCell ref="B14:D14"/>
    <mergeCell ref="B16:D16"/>
    <mergeCell ref="B17:F17"/>
    <mergeCell ref="G39:H39"/>
    <mergeCell ref="B15:D15"/>
    <mergeCell ref="B20:J20"/>
    <mergeCell ref="B22:J22"/>
    <mergeCell ref="C4:D4"/>
    <mergeCell ref="B2:F2"/>
  </mergeCells>
  <phoneticPr fontId="9" type="noConversion"/>
  <pageMargins left="0.78740157480314965" right="0.31496062992125984" top="0.31496062992125984" bottom="0.31496062992125984" header="0.31496062992125984" footer="0.31496062992125984"/>
  <pageSetup paperSize="9" scale="103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6" r:id="rId4" name="Check Box 2">
              <controlPr defaultSize="0" autoFill="0" autoLine="0" autoPict="0">
                <anchor moveWithCells="1">
                  <from>
                    <xdr:col>3</xdr:col>
                    <xdr:colOff>69850</xdr:colOff>
                    <xdr:row>33</xdr:row>
                    <xdr:rowOff>101600</xdr:rowOff>
                  </from>
                  <to>
                    <xdr:col>3</xdr:col>
                    <xdr:colOff>342900</xdr:colOff>
                    <xdr:row>35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5" name="Check Box 3">
              <controlPr defaultSize="0" autoFill="0" autoLine="0" autoPict="0">
                <anchor moveWithCells="1">
                  <from>
                    <xdr:col>4</xdr:col>
                    <xdr:colOff>463550</xdr:colOff>
                    <xdr:row>33</xdr:row>
                    <xdr:rowOff>101600</xdr:rowOff>
                  </from>
                  <to>
                    <xdr:col>5</xdr:col>
                    <xdr:colOff>266700</xdr:colOff>
                    <xdr:row>35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A5DE7-5685-4E69-A558-0DA59A3F3B25}">
  <sheetPr>
    <tabColor theme="9" tint="0.79998168889431442"/>
  </sheetPr>
  <dimension ref="B1:J39"/>
  <sheetViews>
    <sheetView zoomScale="110" zoomScaleNormal="110" zoomScaleSheetLayoutView="100" workbookViewId="0">
      <selection activeCell="J1" sqref="J1"/>
    </sheetView>
  </sheetViews>
  <sheetFormatPr defaultColWidth="9" defaultRowHeight="21"/>
  <cols>
    <col min="1" max="1" width="4.90625" style="1" customWidth="1"/>
    <col min="2" max="2" width="14.26953125" style="1" customWidth="1"/>
    <col min="3" max="3" width="10.453125" style="1" customWidth="1"/>
    <col min="4" max="4" width="8.08984375" style="1" customWidth="1"/>
    <col min="5" max="5" width="6.7265625" style="1" bestFit="1" customWidth="1"/>
    <col min="6" max="6" width="42.08984375" style="1" customWidth="1"/>
    <col min="7" max="7" width="10.81640625" style="1" customWidth="1"/>
    <col min="8" max="8" width="9.36328125" style="24" hidden="1" customWidth="1"/>
    <col min="9" max="9" width="2.7265625" style="1" customWidth="1"/>
    <col min="10" max="16384" width="9" style="1"/>
  </cols>
  <sheetData>
    <row r="1" spans="2:9" ht="26.5" customHeight="1">
      <c r="G1" s="77" t="s">
        <v>8</v>
      </c>
      <c r="H1" s="77"/>
    </row>
    <row r="2" spans="2:9">
      <c r="B2" s="57" t="s">
        <v>0</v>
      </c>
      <c r="C2" s="57"/>
      <c r="D2" s="57"/>
      <c r="E2" s="57"/>
      <c r="F2" s="57"/>
      <c r="G2" s="57"/>
      <c r="H2" s="65"/>
    </row>
    <row r="3" spans="2:9" ht="7.5" customHeight="1">
      <c r="G3" s="54"/>
      <c r="H3" s="44"/>
    </row>
    <row r="4" spans="2:9" ht="18" customHeight="1">
      <c r="B4" s="8" t="s">
        <v>1</v>
      </c>
      <c r="C4" s="28"/>
      <c r="D4" s="28"/>
      <c r="E4" s="26"/>
      <c r="F4" s="50"/>
      <c r="G4" s="3"/>
      <c r="H4" s="4"/>
    </row>
    <row r="5" spans="2:9" ht="18" customHeight="1">
      <c r="B5" s="8" t="s">
        <v>2</v>
      </c>
      <c r="C5" s="51"/>
      <c r="D5" s="52"/>
      <c r="E5" s="52"/>
      <c r="F5" s="53"/>
      <c r="G5" s="46"/>
      <c r="H5" s="78"/>
    </row>
    <row r="6" spans="2:9" ht="18" customHeight="1">
      <c r="B6" s="8" t="s">
        <v>3</v>
      </c>
      <c r="C6" s="10" t="s">
        <v>4</v>
      </c>
      <c r="D6" s="10"/>
      <c r="E6" s="10"/>
      <c r="F6" s="53"/>
      <c r="G6" s="46"/>
      <c r="H6" s="78"/>
    </row>
    <row r="7" spans="2:9" ht="18" customHeight="1">
      <c r="B7" s="8" t="s">
        <v>5</v>
      </c>
      <c r="C7" s="10"/>
      <c r="D7" s="10"/>
      <c r="E7" s="10"/>
      <c r="F7" s="53"/>
      <c r="G7" s="66"/>
      <c r="H7" s="78"/>
    </row>
    <row r="8" spans="2:9">
      <c r="B8" s="48"/>
    </row>
    <row r="9" spans="2:9" ht="39" customHeight="1">
      <c r="B9" s="60" t="s">
        <v>6</v>
      </c>
      <c r="C9" s="60"/>
      <c r="D9" s="60"/>
      <c r="E9" s="62" t="s">
        <v>24</v>
      </c>
      <c r="F9" s="61" t="s">
        <v>23</v>
      </c>
      <c r="G9" s="63" t="s">
        <v>19</v>
      </c>
      <c r="H9" s="74" t="s">
        <v>39</v>
      </c>
      <c r="I9" s="6"/>
    </row>
    <row r="10" spans="2:9" s="23" customFormat="1" ht="72">
      <c r="B10" s="58" t="s">
        <v>25</v>
      </c>
      <c r="C10" s="58"/>
      <c r="D10" s="58"/>
      <c r="E10" s="24">
        <v>25</v>
      </c>
      <c r="F10" s="22" t="s">
        <v>26</v>
      </c>
      <c r="G10" s="59"/>
      <c r="H10" s="24">
        <f>(G10/5)*E10</f>
        <v>0</v>
      </c>
    </row>
    <row r="11" spans="2:9" ht="72">
      <c r="B11" s="40" t="s">
        <v>27</v>
      </c>
      <c r="C11" s="40"/>
      <c r="D11" s="40"/>
      <c r="E11" s="16">
        <v>25</v>
      </c>
      <c r="F11" s="25" t="s">
        <v>28</v>
      </c>
      <c r="G11" s="59"/>
      <c r="H11" s="24">
        <f>(G11/5)*E11</f>
        <v>0</v>
      </c>
    </row>
    <row r="12" spans="2:9" ht="72">
      <c r="B12" s="40" t="s">
        <v>29</v>
      </c>
      <c r="C12" s="40"/>
      <c r="D12" s="40"/>
      <c r="E12" s="16">
        <v>15</v>
      </c>
      <c r="F12" s="25" t="s">
        <v>30</v>
      </c>
      <c r="G12" s="59"/>
      <c r="H12" s="24">
        <f t="shared" ref="H12:H15" si="0">(G12/5)*E12</f>
        <v>0</v>
      </c>
    </row>
    <row r="13" spans="2:9" ht="72">
      <c r="B13" s="41" t="s">
        <v>31</v>
      </c>
      <c r="C13" s="42"/>
      <c r="D13" s="43"/>
      <c r="E13" s="16">
        <v>15</v>
      </c>
      <c r="F13" s="27" t="s">
        <v>32</v>
      </c>
      <c r="G13" s="59"/>
      <c r="H13" s="24">
        <f t="shared" si="0"/>
        <v>0</v>
      </c>
    </row>
    <row r="14" spans="2:9" ht="72">
      <c r="B14" s="41" t="s">
        <v>33</v>
      </c>
      <c r="C14" s="42"/>
      <c r="D14" s="43"/>
      <c r="E14" s="16">
        <v>10</v>
      </c>
      <c r="F14" s="45" t="s">
        <v>34</v>
      </c>
      <c r="G14" s="59"/>
      <c r="H14" s="24">
        <f t="shared" si="0"/>
        <v>0</v>
      </c>
    </row>
    <row r="15" spans="2:9" ht="88.5" customHeight="1">
      <c r="B15" s="90" t="s">
        <v>35</v>
      </c>
      <c r="C15" s="87"/>
      <c r="D15" s="91"/>
      <c r="E15" s="16">
        <v>10</v>
      </c>
      <c r="F15" s="89" t="s">
        <v>36</v>
      </c>
      <c r="G15" s="84"/>
      <c r="H15" s="85">
        <f t="shared" si="0"/>
        <v>0</v>
      </c>
    </row>
    <row r="16" spans="2:9" ht="27.65" customHeight="1">
      <c r="B16" s="79" t="s">
        <v>43</v>
      </c>
      <c r="C16" s="79"/>
      <c r="D16" s="79"/>
      <c r="E16" s="79"/>
      <c r="F16" s="79"/>
      <c r="G16" s="82">
        <f>SUM(G10:G15)</f>
        <v>0</v>
      </c>
      <c r="H16" s="81"/>
    </row>
    <row r="17" spans="2:8" ht="27.65" customHeight="1">
      <c r="B17" s="83"/>
      <c r="C17" s="83"/>
      <c r="D17" s="83"/>
      <c r="E17" s="83"/>
      <c r="F17" s="83" t="s">
        <v>42</v>
      </c>
      <c r="G17" s="82">
        <f>SUM(H10:H15)</f>
        <v>0</v>
      </c>
      <c r="H17" s="80"/>
    </row>
    <row r="18" spans="2:8" ht="14.15" customHeight="1"/>
    <row r="19" spans="2:8" ht="14.25" customHeight="1">
      <c r="B19" s="8" t="s">
        <v>14</v>
      </c>
    </row>
    <row r="20" spans="2:8">
      <c r="B20" s="33"/>
      <c r="C20" s="33"/>
      <c r="D20" s="33"/>
      <c r="E20" s="33"/>
      <c r="F20" s="33"/>
      <c r="G20" s="33"/>
      <c r="H20" s="75"/>
    </row>
    <row r="21" spans="2:8">
      <c r="B21" s="9"/>
      <c r="C21" s="9"/>
      <c r="D21" s="9"/>
      <c r="E21" s="9"/>
      <c r="F21" s="9"/>
      <c r="G21" s="9"/>
      <c r="H21" s="75"/>
    </row>
    <row r="22" spans="2:8" ht="14.25" customHeight="1">
      <c r="B22" s="34"/>
      <c r="C22" s="34"/>
      <c r="D22" s="34"/>
      <c r="E22" s="34"/>
      <c r="F22" s="34"/>
      <c r="G22" s="34"/>
      <c r="H22" s="76"/>
    </row>
    <row r="23" spans="2:8" ht="14.25" customHeight="1">
      <c r="B23" s="12" t="s">
        <v>15</v>
      </c>
      <c r="C23" s="13"/>
      <c r="D23" s="13"/>
      <c r="E23" s="13"/>
      <c r="F23" s="13"/>
      <c r="G23" s="13"/>
      <c r="H23" s="44"/>
    </row>
    <row r="24" spans="2:8">
      <c r="B24" s="9"/>
      <c r="C24" s="9"/>
      <c r="D24" s="9"/>
      <c r="E24" s="9"/>
      <c r="F24" s="9"/>
      <c r="G24" s="9"/>
      <c r="H24" s="75"/>
    </row>
    <row r="25" spans="2:8">
      <c r="B25" s="9"/>
      <c r="C25" s="9"/>
      <c r="D25" s="9"/>
      <c r="E25" s="9"/>
      <c r="F25" s="9"/>
      <c r="G25" s="9"/>
      <c r="H25" s="75"/>
    </row>
    <row r="26" spans="2:8" ht="14.15" customHeight="1"/>
    <row r="27" spans="2:8" ht="14.25" customHeight="1">
      <c r="B27" s="8" t="s">
        <v>16</v>
      </c>
    </row>
    <row r="28" spans="2:8">
      <c r="B28" s="9"/>
      <c r="C28" s="9"/>
      <c r="D28" s="9"/>
      <c r="E28" s="9"/>
      <c r="F28" s="9"/>
      <c r="G28" s="9"/>
      <c r="H28" s="75"/>
    </row>
    <row r="29" spans="2:8">
      <c r="B29" s="9"/>
      <c r="C29" s="9"/>
      <c r="D29" s="9"/>
      <c r="E29" s="9"/>
      <c r="F29" s="9"/>
      <c r="G29" s="9"/>
      <c r="H29" s="75"/>
    </row>
    <row r="30" spans="2:8" ht="13.5" customHeight="1"/>
    <row r="31" spans="2:8" ht="14.25" customHeight="1">
      <c r="B31" s="8" t="s">
        <v>17</v>
      </c>
    </row>
    <row r="32" spans="2:8">
      <c r="B32" s="9"/>
      <c r="C32" s="9"/>
      <c r="D32" s="9"/>
      <c r="E32" s="9"/>
      <c r="F32" s="9"/>
      <c r="G32" s="9"/>
      <c r="H32" s="75"/>
    </row>
    <row r="33" spans="2:10">
      <c r="B33" s="9"/>
      <c r="C33" s="9"/>
      <c r="D33" s="9"/>
      <c r="E33" s="9"/>
      <c r="F33" s="9"/>
      <c r="G33" s="9"/>
      <c r="H33" s="75"/>
    </row>
    <row r="34" spans="2:10" ht="13.5" customHeight="1"/>
    <row r="35" spans="2:10" ht="14.25" customHeight="1">
      <c r="B35" s="8" t="s">
        <v>18</v>
      </c>
      <c r="D35" s="8" t="s">
        <v>22</v>
      </c>
      <c r="E35" s="8"/>
      <c r="F35" s="8" t="s">
        <v>37</v>
      </c>
    </row>
    <row r="36" spans="2:10" ht="14.25" customHeight="1"/>
    <row r="37" spans="2:10" ht="21.5" thickBot="1">
      <c r="F37" s="67" t="s">
        <v>20</v>
      </c>
      <c r="G37" s="68"/>
      <c r="H37" s="44"/>
      <c r="I37" s="54"/>
      <c r="J37" s="54"/>
    </row>
    <row r="38" spans="2:10" ht="21.5" thickBot="1">
      <c r="B38" s="2"/>
      <c r="C38" s="24"/>
      <c r="D38" s="24"/>
      <c r="E38" s="24"/>
      <c r="F38" s="64" t="s">
        <v>21</v>
      </c>
      <c r="G38" s="70"/>
      <c r="H38" s="44"/>
      <c r="I38" s="54"/>
      <c r="J38" s="54"/>
    </row>
    <row r="39" spans="2:10">
      <c r="D39" s="14"/>
      <c r="E39" s="14"/>
      <c r="F39" s="14"/>
      <c r="G39" s="69"/>
      <c r="H39" s="44"/>
    </row>
  </sheetData>
  <mergeCells count="13">
    <mergeCell ref="B22:G22"/>
    <mergeCell ref="B12:D12"/>
    <mergeCell ref="B13:D13"/>
    <mergeCell ref="B14:D14"/>
    <mergeCell ref="B15:D15"/>
    <mergeCell ref="B16:F16"/>
    <mergeCell ref="B20:G20"/>
    <mergeCell ref="G1:H1"/>
    <mergeCell ref="B2:G2"/>
    <mergeCell ref="C4:D4"/>
    <mergeCell ref="B9:D9"/>
    <mergeCell ref="B10:D10"/>
    <mergeCell ref="B11:D11"/>
  </mergeCells>
  <pageMargins left="0.78740157480314965" right="0.31496062992125984" top="0.31496062992125984" bottom="0.31496062992125984" header="0.31496062992125984" footer="0.31496062992125984"/>
  <pageSetup paperSize="9" scale="103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21" r:id="rId4" name="Check Box 1">
              <controlPr defaultSize="0" autoFill="0" autoLine="0" autoPict="0">
                <anchor moveWithCells="1">
                  <from>
                    <xdr:col>3</xdr:col>
                    <xdr:colOff>69850</xdr:colOff>
                    <xdr:row>33</xdr:row>
                    <xdr:rowOff>101600</xdr:rowOff>
                  </from>
                  <to>
                    <xdr:col>3</xdr:col>
                    <xdr:colOff>342900</xdr:colOff>
                    <xdr:row>35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2" r:id="rId5" name="Check Box 2">
              <controlPr defaultSize="0" autoFill="0" autoLine="0" autoPict="0">
                <anchor moveWithCells="1">
                  <from>
                    <xdr:col>4</xdr:col>
                    <xdr:colOff>463550</xdr:colOff>
                    <xdr:row>33</xdr:row>
                    <xdr:rowOff>101600</xdr:rowOff>
                  </from>
                  <to>
                    <xdr:col>5</xdr:col>
                    <xdr:colOff>266700</xdr:colOff>
                    <xdr:row>35</xdr:row>
                    <xdr:rowOff>63500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AC3EE7F-5263-48B1-859E-9E7ACDA55565}">
          <x14:formula1>
            <xm:f>data!$B$2:$B$6</xm:f>
          </x14:formula1>
          <xm:sqref>G10:G15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BA556-F4E6-47F1-AA00-6DBB8BE30C76}">
  <sheetPr>
    <tabColor theme="9" tint="0.79998168889431442"/>
  </sheetPr>
  <dimension ref="B1:J39"/>
  <sheetViews>
    <sheetView zoomScale="110" zoomScaleNormal="110" zoomScaleSheetLayoutView="100" workbookViewId="0">
      <selection activeCell="G5" sqref="G5"/>
    </sheetView>
  </sheetViews>
  <sheetFormatPr defaultColWidth="9" defaultRowHeight="21"/>
  <cols>
    <col min="1" max="1" width="4.90625" style="1" customWidth="1"/>
    <col min="2" max="2" width="14.26953125" style="1" customWidth="1"/>
    <col min="3" max="3" width="10.453125" style="1" customWidth="1"/>
    <col min="4" max="4" width="8.08984375" style="1" customWidth="1"/>
    <col min="5" max="5" width="6.7265625" style="1" bestFit="1" customWidth="1"/>
    <col min="6" max="6" width="42.08984375" style="1" customWidth="1"/>
    <col min="7" max="7" width="10.81640625" style="1" customWidth="1"/>
    <col min="8" max="8" width="9.36328125" style="24" hidden="1" customWidth="1"/>
    <col min="9" max="9" width="2.7265625" style="1" customWidth="1"/>
    <col min="10" max="16384" width="9" style="1"/>
  </cols>
  <sheetData>
    <row r="1" spans="2:9" ht="26.5" customHeight="1">
      <c r="G1" s="77" t="s">
        <v>45</v>
      </c>
      <c r="H1" s="77"/>
    </row>
    <row r="2" spans="2:9">
      <c r="B2" s="57" t="s">
        <v>0</v>
      </c>
      <c r="C2" s="57"/>
      <c r="D2" s="57"/>
      <c r="E2" s="57"/>
      <c r="F2" s="57"/>
      <c r="G2" s="57"/>
      <c r="H2" s="65"/>
    </row>
    <row r="3" spans="2:9" ht="7.5" customHeight="1">
      <c r="G3" s="54"/>
      <c r="H3" s="44"/>
    </row>
    <row r="4" spans="2:9" ht="18" customHeight="1">
      <c r="B4" s="8" t="s">
        <v>1</v>
      </c>
      <c r="C4" s="28"/>
      <c r="D4" s="28"/>
      <c r="E4" s="26"/>
      <c r="F4" s="50"/>
      <c r="G4" s="3"/>
      <c r="H4" s="4"/>
    </row>
    <row r="5" spans="2:9" ht="18" customHeight="1">
      <c r="B5" s="8" t="s">
        <v>2</v>
      </c>
      <c r="C5" s="51"/>
      <c r="D5" s="52"/>
      <c r="E5" s="52"/>
      <c r="F5" s="53"/>
      <c r="G5" s="46"/>
      <c r="H5" s="78"/>
    </row>
    <row r="6" spans="2:9" ht="18" customHeight="1">
      <c r="B6" s="8" t="s">
        <v>3</v>
      </c>
      <c r="C6" s="10" t="s">
        <v>4</v>
      </c>
      <c r="D6" s="10"/>
      <c r="E6" s="10"/>
      <c r="F6" s="53"/>
      <c r="G6" s="46"/>
      <c r="H6" s="78"/>
    </row>
    <row r="7" spans="2:9" ht="18" customHeight="1">
      <c r="B7" s="8" t="s">
        <v>5</v>
      </c>
      <c r="C7" s="10"/>
      <c r="D7" s="10"/>
      <c r="E7" s="10"/>
      <c r="F7" s="53"/>
      <c r="G7" s="66"/>
      <c r="H7" s="78"/>
    </row>
    <row r="8" spans="2:9">
      <c r="B8" s="48"/>
    </row>
    <row r="9" spans="2:9" ht="39" customHeight="1">
      <c r="B9" s="60" t="s">
        <v>6</v>
      </c>
      <c r="C9" s="60"/>
      <c r="D9" s="60"/>
      <c r="E9" s="62" t="s">
        <v>24</v>
      </c>
      <c r="F9" s="61" t="s">
        <v>23</v>
      </c>
      <c r="G9" s="63" t="s">
        <v>19</v>
      </c>
      <c r="H9" s="74" t="s">
        <v>39</v>
      </c>
      <c r="I9" s="6"/>
    </row>
    <row r="10" spans="2:9" s="23" customFormat="1" ht="72">
      <c r="B10" s="58" t="s">
        <v>25</v>
      </c>
      <c r="C10" s="58"/>
      <c r="D10" s="58"/>
      <c r="E10" s="24">
        <v>25</v>
      </c>
      <c r="F10" s="22" t="s">
        <v>26</v>
      </c>
      <c r="G10" s="59"/>
      <c r="H10" s="24">
        <f>(G10/5)*E10</f>
        <v>0</v>
      </c>
    </row>
    <row r="11" spans="2:9" ht="72">
      <c r="B11" s="40" t="s">
        <v>27</v>
      </c>
      <c r="C11" s="40"/>
      <c r="D11" s="40"/>
      <c r="E11" s="16">
        <v>25</v>
      </c>
      <c r="F11" s="25" t="s">
        <v>28</v>
      </c>
      <c r="G11" s="59"/>
      <c r="H11" s="24">
        <f>(G11/5)*E11</f>
        <v>0</v>
      </c>
    </row>
    <row r="12" spans="2:9" ht="72">
      <c r="B12" s="40" t="s">
        <v>29</v>
      </c>
      <c r="C12" s="40"/>
      <c r="D12" s="40"/>
      <c r="E12" s="16">
        <v>15</v>
      </c>
      <c r="F12" s="25" t="s">
        <v>30</v>
      </c>
      <c r="G12" s="59"/>
      <c r="H12" s="24">
        <f t="shared" ref="H12:H15" si="0">(G12/5)*E12</f>
        <v>0</v>
      </c>
    </row>
    <row r="13" spans="2:9" ht="72">
      <c r="B13" s="41" t="s">
        <v>31</v>
      </c>
      <c r="C13" s="42"/>
      <c r="D13" s="43"/>
      <c r="E13" s="16">
        <v>15</v>
      </c>
      <c r="F13" s="27" t="s">
        <v>32</v>
      </c>
      <c r="G13" s="59"/>
      <c r="H13" s="24">
        <f t="shared" si="0"/>
        <v>0</v>
      </c>
    </row>
    <row r="14" spans="2:9" ht="72">
      <c r="B14" s="41" t="s">
        <v>33</v>
      </c>
      <c r="C14" s="42"/>
      <c r="D14" s="43"/>
      <c r="E14" s="16">
        <v>10</v>
      </c>
      <c r="F14" s="45" t="s">
        <v>34</v>
      </c>
      <c r="G14" s="59"/>
      <c r="H14" s="24">
        <f t="shared" si="0"/>
        <v>0</v>
      </c>
    </row>
    <row r="15" spans="2:9" ht="88.5" customHeight="1">
      <c r="B15" s="90" t="s">
        <v>35</v>
      </c>
      <c r="C15" s="87"/>
      <c r="D15" s="91"/>
      <c r="E15" s="16">
        <v>10</v>
      </c>
      <c r="F15" s="89" t="s">
        <v>36</v>
      </c>
      <c r="G15" s="84"/>
      <c r="H15" s="85">
        <f t="shared" si="0"/>
        <v>0</v>
      </c>
    </row>
    <row r="16" spans="2:9" ht="27.65" customHeight="1">
      <c r="B16" s="79" t="s">
        <v>40</v>
      </c>
      <c r="C16" s="79"/>
      <c r="D16" s="79"/>
      <c r="E16" s="79"/>
      <c r="F16" s="79"/>
      <c r="G16" s="82">
        <f>SUM(G10:G15)</f>
        <v>0</v>
      </c>
      <c r="H16" s="81"/>
    </row>
    <row r="17" spans="2:8" ht="27.65" customHeight="1">
      <c r="B17" s="83"/>
      <c r="C17" s="83"/>
      <c r="D17" s="83"/>
      <c r="E17" s="83"/>
      <c r="F17" s="83" t="s">
        <v>41</v>
      </c>
      <c r="G17" s="82">
        <f>SUM(H10:H15)</f>
        <v>0</v>
      </c>
      <c r="H17" s="80"/>
    </row>
    <row r="18" spans="2:8" ht="14.15" customHeight="1"/>
    <row r="19" spans="2:8" ht="14.25" customHeight="1">
      <c r="B19" s="8" t="s">
        <v>14</v>
      </c>
    </row>
    <row r="20" spans="2:8">
      <c r="B20" s="33"/>
      <c r="C20" s="33"/>
      <c r="D20" s="33"/>
      <c r="E20" s="33"/>
      <c r="F20" s="33"/>
      <c r="G20" s="33"/>
      <c r="H20" s="75"/>
    </row>
    <row r="21" spans="2:8">
      <c r="B21" s="9"/>
      <c r="C21" s="9"/>
      <c r="D21" s="9"/>
      <c r="E21" s="9"/>
      <c r="F21" s="9"/>
      <c r="G21" s="9"/>
      <c r="H21" s="75"/>
    </row>
    <row r="22" spans="2:8" ht="14.25" customHeight="1">
      <c r="B22" s="34"/>
      <c r="C22" s="34"/>
      <c r="D22" s="34"/>
      <c r="E22" s="34"/>
      <c r="F22" s="34"/>
      <c r="G22" s="34"/>
      <c r="H22" s="76"/>
    </row>
    <row r="23" spans="2:8" ht="14.25" customHeight="1">
      <c r="B23" s="12" t="s">
        <v>15</v>
      </c>
      <c r="C23" s="13"/>
      <c r="D23" s="13"/>
      <c r="E23" s="13"/>
      <c r="F23" s="13"/>
      <c r="G23" s="13"/>
      <c r="H23" s="44"/>
    </row>
    <row r="24" spans="2:8">
      <c r="B24" s="9"/>
      <c r="C24" s="9"/>
      <c r="D24" s="9"/>
      <c r="E24" s="9"/>
      <c r="F24" s="9"/>
      <c r="G24" s="9"/>
      <c r="H24" s="75"/>
    </row>
    <row r="25" spans="2:8">
      <c r="B25" s="9"/>
      <c r="C25" s="9"/>
      <c r="D25" s="9"/>
      <c r="E25" s="9"/>
      <c r="F25" s="9"/>
      <c r="G25" s="9"/>
      <c r="H25" s="75"/>
    </row>
    <row r="26" spans="2:8" ht="14.15" customHeight="1"/>
    <row r="27" spans="2:8" ht="14.25" customHeight="1">
      <c r="B27" s="8" t="s">
        <v>16</v>
      </c>
    </row>
    <row r="28" spans="2:8">
      <c r="B28" s="9"/>
      <c r="C28" s="9"/>
      <c r="D28" s="9"/>
      <c r="E28" s="9"/>
      <c r="F28" s="9"/>
      <c r="G28" s="9"/>
      <c r="H28" s="75"/>
    </row>
    <row r="29" spans="2:8">
      <c r="B29" s="9"/>
      <c r="C29" s="9"/>
      <c r="D29" s="9"/>
      <c r="E29" s="9"/>
      <c r="F29" s="9"/>
      <c r="G29" s="9"/>
      <c r="H29" s="75"/>
    </row>
    <row r="30" spans="2:8" ht="13.5" customHeight="1"/>
    <row r="31" spans="2:8" ht="14.25" customHeight="1">
      <c r="B31" s="8" t="s">
        <v>17</v>
      </c>
    </row>
    <row r="32" spans="2:8">
      <c r="B32" s="9"/>
      <c r="C32" s="9"/>
      <c r="D32" s="9"/>
      <c r="E32" s="9"/>
      <c r="F32" s="9"/>
      <c r="G32" s="9"/>
      <c r="H32" s="75"/>
    </row>
    <row r="33" spans="2:10">
      <c r="B33" s="9"/>
      <c r="C33" s="9"/>
      <c r="D33" s="9"/>
      <c r="E33" s="9"/>
      <c r="F33" s="9"/>
      <c r="G33" s="9"/>
      <c r="H33" s="75"/>
    </row>
    <row r="34" spans="2:10" ht="13.5" customHeight="1"/>
    <row r="35" spans="2:10" ht="14.25" customHeight="1">
      <c r="B35" s="8" t="s">
        <v>18</v>
      </c>
      <c r="D35" s="8" t="s">
        <v>22</v>
      </c>
      <c r="E35" s="8"/>
      <c r="F35" s="8" t="s">
        <v>37</v>
      </c>
    </row>
    <row r="36" spans="2:10" ht="14.25" customHeight="1"/>
    <row r="37" spans="2:10" ht="21.5" thickBot="1">
      <c r="F37" s="67" t="s">
        <v>20</v>
      </c>
      <c r="G37" s="68"/>
      <c r="H37" s="44"/>
      <c r="I37" s="54"/>
      <c r="J37" s="54"/>
    </row>
    <row r="38" spans="2:10" ht="21.5" thickBot="1">
      <c r="B38" s="2"/>
      <c r="C38" s="24"/>
      <c r="D38" s="24"/>
      <c r="E38" s="24"/>
      <c r="F38" s="64" t="s">
        <v>21</v>
      </c>
      <c r="G38" s="70"/>
      <c r="H38" s="44"/>
      <c r="I38" s="54"/>
      <c r="J38" s="54"/>
    </row>
    <row r="39" spans="2:10">
      <c r="D39" s="14"/>
      <c r="E39" s="14"/>
      <c r="F39" s="14"/>
      <c r="G39" s="69"/>
      <c r="H39" s="44"/>
    </row>
  </sheetData>
  <mergeCells count="13">
    <mergeCell ref="B22:G22"/>
    <mergeCell ref="B12:D12"/>
    <mergeCell ref="B13:D13"/>
    <mergeCell ref="B14:D14"/>
    <mergeCell ref="B15:D15"/>
    <mergeCell ref="B16:F16"/>
    <mergeCell ref="B20:G20"/>
    <mergeCell ref="G1:H1"/>
    <mergeCell ref="B2:G2"/>
    <mergeCell ref="C4:D4"/>
    <mergeCell ref="B9:D9"/>
    <mergeCell ref="B10:D10"/>
    <mergeCell ref="B11:D11"/>
  </mergeCells>
  <pageMargins left="0.78740157480314965" right="0.31496062992125984" top="0.31496062992125984" bottom="0.31496062992125984" header="0.31496062992125984" footer="0.31496062992125984"/>
  <pageSetup paperSize="9" scale="103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145" r:id="rId4" name="Check Box 1">
              <controlPr defaultSize="0" autoFill="0" autoLine="0" autoPict="0">
                <anchor moveWithCells="1">
                  <from>
                    <xdr:col>3</xdr:col>
                    <xdr:colOff>69850</xdr:colOff>
                    <xdr:row>33</xdr:row>
                    <xdr:rowOff>101600</xdr:rowOff>
                  </from>
                  <to>
                    <xdr:col>3</xdr:col>
                    <xdr:colOff>342900</xdr:colOff>
                    <xdr:row>35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6" r:id="rId5" name="Check Box 2">
              <controlPr defaultSize="0" autoFill="0" autoLine="0" autoPict="0">
                <anchor moveWithCells="1">
                  <from>
                    <xdr:col>4</xdr:col>
                    <xdr:colOff>463550</xdr:colOff>
                    <xdr:row>33</xdr:row>
                    <xdr:rowOff>101600</xdr:rowOff>
                  </from>
                  <to>
                    <xdr:col>5</xdr:col>
                    <xdr:colOff>266700</xdr:colOff>
                    <xdr:row>35</xdr:row>
                    <xdr:rowOff>63500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EEF3713-1E86-4826-B670-6D5004524B0F}">
          <x14:formula1>
            <xm:f>data!$B$2:$B$6</xm:f>
          </x14:formula1>
          <xm:sqref>G10:G15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178B6-E347-45BA-B576-8C4BD346805A}">
  <sheetPr>
    <tabColor theme="9" tint="0.79998168889431442"/>
  </sheetPr>
  <dimension ref="B1:J39"/>
  <sheetViews>
    <sheetView zoomScale="110" zoomScaleNormal="110" zoomScaleSheetLayoutView="100" workbookViewId="0">
      <selection activeCell="G11" sqref="G11"/>
    </sheetView>
  </sheetViews>
  <sheetFormatPr defaultColWidth="9" defaultRowHeight="21"/>
  <cols>
    <col min="1" max="1" width="4.90625" style="1" customWidth="1"/>
    <col min="2" max="2" width="14.26953125" style="1" customWidth="1"/>
    <col min="3" max="3" width="10.453125" style="1" customWidth="1"/>
    <col min="4" max="4" width="8.08984375" style="1" customWidth="1"/>
    <col min="5" max="5" width="6.7265625" style="1" bestFit="1" customWidth="1"/>
    <col min="6" max="6" width="42.08984375" style="1" customWidth="1"/>
    <col min="7" max="7" width="10.81640625" style="1" customWidth="1"/>
    <col min="8" max="8" width="9.36328125" style="24" hidden="1" customWidth="1"/>
    <col min="9" max="9" width="2.7265625" style="1" customWidth="1"/>
    <col min="10" max="16384" width="9" style="1"/>
  </cols>
  <sheetData>
    <row r="1" spans="2:9" ht="26.5" customHeight="1">
      <c r="G1" s="77" t="s">
        <v>38</v>
      </c>
      <c r="H1" s="77"/>
    </row>
    <row r="2" spans="2:9">
      <c r="B2" s="57" t="s">
        <v>0</v>
      </c>
      <c r="C2" s="57"/>
      <c r="D2" s="57"/>
      <c r="E2" s="57"/>
      <c r="F2" s="57"/>
      <c r="G2" s="57"/>
      <c r="H2" s="65"/>
    </row>
    <row r="3" spans="2:9" ht="7.5" customHeight="1">
      <c r="G3" s="54"/>
      <c r="H3" s="44"/>
    </row>
    <row r="4" spans="2:9" ht="18" customHeight="1">
      <c r="B4" s="8" t="s">
        <v>1</v>
      </c>
      <c r="C4" s="28"/>
      <c r="D4" s="28"/>
      <c r="E4" s="26"/>
      <c r="F4" s="50"/>
      <c r="G4" s="3"/>
      <c r="H4" s="4"/>
    </row>
    <row r="5" spans="2:9" ht="18" customHeight="1">
      <c r="B5" s="8" t="s">
        <v>2</v>
      </c>
      <c r="C5" s="51"/>
      <c r="D5" s="52"/>
      <c r="E5" s="52"/>
      <c r="F5" s="53"/>
      <c r="G5" s="46"/>
      <c r="H5" s="78"/>
    </row>
    <row r="6" spans="2:9" ht="18" customHeight="1">
      <c r="B6" s="8" t="s">
        <v>3</v>
      </c>
      <c r="C6" s="10" t="s">
        <v>4</v>
      </c>
      <c r="D6" s="10"/>
      <c r="E6" s="10"/>
      <c r="F6" s="53"/>
      <c r="G6" s="46"/>
      <c r="H6" s="78"/>
    </row>
    <row r="7" spans="2:9" ht="18" customHeight="1">
      <c r="B7" s="8" t="s">
        <v>5</v>
      </c>
      <c r="C7" s="10"/>
      <c r="D7" s="10"/>
      <c r="E7" s="10"/>
      <c r="F7" s="53"/>
      <c r="G7" s="66"/>
      <c r="H7" s="78"/>
    </row>
    <row r="8" spans="2:9">
      <c r="B8" s="48"/>
    </row>
    <row r="9" spans="2:9" ht="39" customHeight="1">
      <c r="B9" s="60" t="s">
        <v>6</v>
      </c>
      <c r="C9" s="60"/>
      <c r="D9" s="60"/>
      <c r="E9" s="62" t="s">
        <v>24</v>
      </c>
      <c r="F9" s="61" t="s">
        <v>23</v>
      </c>
      <c r="G9" s="63" t="s">
        <v>19</v>
      </c>
      <c r="H9" s="74" t="s">
        <v>39</v>
      </c>
      <c r="I9" s="6"/>
    </row>
    <row r="10" spans="2:9" s="23" customFormat="1" ht="72">
      <c r="B10" s="58" t="s">
        <v>25</v>
      </c>
      <c r="C10" s="58"/>
      <c r="D10" s="58"/>
      <c r="E10" s="24">
        <v>25</v>
      </c>
      <c r="F10" s="22" t="s">
        <v>26</v>
      </c>
      <c r="G10" s="59"/>
      <c r="H10" s="24">
        <f>(G10/5)*E10</f>
        <v>0</v>
      </c>
    </row>
    <row r="11" spans="2:9" ht="72">
      <c r="B11" s="40" t="s">
        <v>27</v>
      </c>
      <c r="C11" s="40"/>
      <c r="D11" s="40"/>
      <c r="E11" s="16">
        <v>25</v>
      </c>
      <c r="F11" s="25" t="s">
        <v>28</v>
      </c>
      <c r="G11" s="59"/>
      <c r="H11" s="24">
        <f>(G11/5)*E11</f>
        <v>0</v>
      </c>
    </row>
    <row r="12" spans="2:9" ht="72">
      <c r="B12" s="40" t="s">
        <v>29</v>
      </c>
      <c r="C12" s="40"/>
      <c r="D12" s="40"/>
      <c r="E12" s="16">
        <v>15</v>
      </c>
      <c r="F12" s="25" t="s">
        <v>30</v>
      </c>
      <c r="G12" s="59"/>
      <c r="H12" s="24">
        <f t="shared" ref="H12:H15" si="0">(G12/5)*E12</f>
        <v>0</v>
      </c>
    </row>
    <row r="13" spans="2:9" ht="72">
      <c r="B13" s="41" t="s">
        <v>31</v>
      </c>
      <c r="C13" s="42"/>
      <c r="D13" s="43"/>
      <c r="E13" s="16">
        <v>15</v>
      </c>
      <c r="F13" s="27" t="s">
        <v>32</v>
      </c>
      <c r="G13" s="59"/>
      <c r="H13" s="24">
        <f t="shared" si="0"/>
        <v>0</v>
      </c>
    </row>
    <row r="14" spans="2:9" ht="72">
      <c r="B14" s="41" t="s">
        <v>33</v>
      </c>
      <c r="C14" s="42"/>
      <c r="D14" s="43"/>
      <c r="E14" s="16">
        <v>10</v>
      </c>
      <c r="F14" s="45" t="s">
        <v>34</v>
      </c>
      <c r="G14" s="59"/>
      <c r="H14" s="24">
        <f t="shared" si="0"/>
        <v>0</v>
      </c>
    </row>
    <row r="15" spans="2:9" ht="88.5" customHeight="1">
      <c r="B15" s="90" t="s">
        <v>35</v>
      </c>
      <c r="C15" s="87"/>
      <c r="D15" s="91"/>
      <c r="E15" s="16">
        <v>10</v>
      </c>
      <c r="F15" s="89" t="s">
        <v>36</v>
      </c>
      <c r="G15" s="84"/>
      <c r="H15" s="85">
        <f t="shared" si="0"/>
        <v>0</v>
      </c>
    </row>
    <row r="16" spans="2:9" ht="27.65" customHeight="1">
      <c r="B16" s="79" t="s">
        <v>40</v>
      </c>
      <c r="C16" s="79"/>
      <c r="D16" s="79"/>
      <c r="E16" s="79"/>
      <c r="F16" s="79"/>
      <c r="G16" s="82">
        <f>SUM(G10:G15)</f>
        <v>0</v>
      </c>
      <c r="H16" s="81"/>
    </row>
    <row r="17" spans="2:8" ht="27.65" customHeight="1">
      <c r="B17" s="83"/>
      <c r="C17" s="83"/>
      <c r="D17" s="83"/>
      <c r="E17" s="83"/>
      <c r="F17" s="83" t="s">
        <v>41</v>
      </c>
      <c r="G17" s="82">
        <f>SUM(H10:H15)</f>
        <v>0</v>
      </c>
      <c r="H17" s="80"/>
    </row>
    <row r="18" spans="2:8" ht="14.15" customHeight="1"/>
    <row r="19" spans="2:8" ht="14.25" customHeight="1">
      <c r="B19" s="8" t="s">
        <v>14</v>
      </c>
    </row>
    <row r="20" spans="2:8">
      <c r="B20" s="33"/>
      <c r="C20" s="33"/>
      <c r="D20" s="33"/>
      <c r="E20" s="33"/>
      <c r="F20" s="33"/>
      <c r="G20" s="33"/>
      <c r="H20" s="75"/>
    </row>
    <row r="21" spans="2:8">
      <c r="B21" s="9"/>
      <c r="C21" s="9"/>
      <c r="D21" s="9"/>
      <c r="E21" s="9"/>
      <c r="F21" s="9"/>
      <c r="G21" s="9"/>
      <c r="H21" s="75"/>
    </row>
    <row r="22" spans="2:8" ht="14.25" customHeight="1">
      <c r="B22" s="34"/>
      <c r="C22" s="34"/>
      <c r="D22" s="34"/>
      <c r="E22" s="34"/>
      <c r="F22" s="34"/>
      <c r="G22" s="34"/>
      <c r="H22" s="76"/>
    </row>
    <row r="23" spans="2:8" ht="14.25" customHeight="1">
      <c r="B23" s="12" t="s">
        <v>15</v>
      </c>
      <c r="C23" s="13"/>
      <c r="D23" s="13"/>
      <c r="E23" s="13"/>
      <c r="F23" s="13"/>
      <c r="G23" s="13"/>
      <c r="H23" s="44"/>
    </row>
    <row r="24" spans="2:8">
      <c r="B24" s="9"/>
      <c r="C24" s="9"/>
      <c r="D24" s="9"/>
      <c r="E24" s="9"/>
      <c r="F24" s="9"/>
      <c r="G24" s="9"/>
      <c r="H24" s="75"/>
    </row>
    <row r="25" spans="2:8">
      <c r="B25" s="9"/>
      <c r="C25" s="9"/>
      <c r="D25" s="9"/>
      <c r="E25" s="9"/>
      <c r="F25" s="9"/>
      <c r="G25" s="9"/>
      <c r="H25" s="75"/>
    </row>
    <row r="26" spans="2:8" ht="14.15" customHeight="1"/>
    <row r="27" spans="2:8" ht="14.25" customHeight="1">
      <c r="B27" s="8" t="s">
        <v>16</v>
      </c>
    </row>
    <row r="28" spans="2:8">
      <c r="B28" s="9"/>
      <c r="C28" s="9"/>
      <c r="D28" s="9"/>
      <c r="E28" s="9"/>
      <c r="F28" s="9"/>
      <c r="G28" s="9"/>
      <c r="H28" s="75"/>
    </row>
    <row r="29" spans="2:8">
      <c r="B29" s="9"/>
      <c r="C29" s="9"/>
      <c r="D29" s="9"/>
      <c r="E29" s="9"/>
      <c r="F29" s="9"/>
      <c r="G29" s="9"/>
      <c r="H29" s="75"/>
    </row>
    <row r="30" spans="2:8" ht="13.5" customHeight="1"/>
    <row r="31" spans="2:8" ht="14.25" customHeight="1">
      <c r="B31" s="8" t="s">
        <v>17</v>
      </c>
    </row>
    <row r="32" spans="2:8">
      <c r="B32" s="9"/>
      <c r="C32" s="9"/>
      <c r="D32" s="9"/>
      <c r="E32" s="9"/>
      <c r="F32" s="9"/>
      <c r="G32" s="9"/>
      <c r="H32" s="75"/>
    </row>
    <row r="33" spans="2:10">
      <c r="B33" s="9"/>
      <c r="C33" s="9"/>
      <c r="D33" s="9"/>
      <c r="E33" s="9"/>
      <c r="F33" s="9"/>
      <c r="G33" s="9"/>
      <c r="H33" s="75"/>
    </row>
    <row r="34" spans="2:10" ht="13.5" customHeight="1"/>
    <row r="35" spans="2:10" ht="14.25" customHeight="1">
      <c r="B35" s="8" t="s">
        <v>18</v>
      </c>
      <c r="D35" s="8" t="s">
        <v>22</v>
      </c>
      <c r="E35" s="8"/>
      <c r="F35" s="8" t="s">
        <v>37</v>
      </c>
    </row>
    <row r="36" spans="2:10" ht="14.25" customHeight="1"/>
    <row r="37" spans="2:10" ht="21.5" thickBot="1">
      <c r="F37" s="67" t="s">
        <v>20</v>
      </c>
      <c r="G37" s="68"/>
      <c r="H37" s="44"/>
      <c r="I37" s="54"/>
      <c r="J37" s="54"/>
    </row>
    <row r="38" spans="2:10" ht="21.5" thickBot="1">
      <c r="B38" s="2"/>
      <c r="C38" s="24"/>
      <c r="D38" s="24"/>
      <c r="E38" s="24"/>
      <c r="F38" s="64" t="s">
        <v>21</v>
      </c>
      <c r="G38" s="70"/>
      <c r="H38" s="44"/>
      <c r="I38" s="54"/>
      <c r="J38" s="54"/>
    </row>
    <row r="39" spans="2:10">
      <c r="D39" s="14"/>
      <c r="E39" s="14"/>
      <c r="F39" s="14"/>
      <c r="G39" s="69"/>
      <c r="H39" s="44"/>
    </row>
  </sheetData>
  <mergeCells count="13">
    <mergeCell ref="B2:G2"/>
    <mergeCell ref="G1:H1"/>
    <mergeCell ref="B22:G22"/>
    <mergeCell ref="B14:D14"/>
    <mergeCell ref="B15:D15"/>
    <mergeCell ref="B16:F16"/>
    <mergeCell ref="B20:G20"/>
    <mergeCell ref="C4:D4"/>
    <mergeCell ref="B9:D9"/>
    <mergeCell ref="B10:D10"/>
    <mergeCell ref="B11:D11"/>
    <mergeCell ref="B12:D12"/>
    <mergeCell ref="B13:D13"/>
  </mergeCells>
  <pageMargins left="0.78740157480314965" right="0.31496062992125984" top="0.31496062992125984" bottom="0.31496062992125984" header="0.31496062992125984" footer="0.31496062992125984"/>
  <pageSetup paperSize="9" scale="103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Check Box 1">
              <controlPr defaultSize="0" autoFill="0" autoLine="0" autoPict="0">
                <anchor moveWithCells="1">
                  <from>
                    <xdr:col>3</xdr:col>
                    <xdr:colOff>69850</xdr:colOff>
                    <xdr:row>33</xdr:row>
                    <xdr:rowOff>101600</xdr:rowOff>
                  </from>
                  <to>
                    <xdr:col>3</xdr:col>
                    <xdr:colOff>342900</xdr:colOff>
                    <xdr:row>35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4" r:id="rId5" name="Check Box 2">
              <controlPr defaultSize="0" autoFill="0" autoLine="0" autoPict="0">
                <anchor moveWithCells="1">
                  <from>
                    <xdr:col>4</xdr:col>
                    <xdr:colOff>463550</xdr:colOff>
                    <xdr:row>33</xdr:row>
                    <xdr:rowOff>101600</xdr:rowOff>
                  </from>
                  <to>
                    <xdr:col>5</xdr:col>
                    <xdr:colOff>266700</xdr:colOff>
                    <xdr:row>35</xdr:row>
                    <xdr:rowOff>63500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135CF9F-58C4-42E5-BDF4-ABB399A1B9EE}">
          <x14:formula1>
            <xm:f>data!$B$2:$B$6</xm:f>
          </x14:formula1>
          <xm:sqref>G10:G15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5ED85-A0EF-4378-BBBA-BC5508803A04}">
  <sheetPr>
    <tabColor theme="9" tint="0.79998168889431442"/>
  </sheetPr>
  <dimension ref="B1:J39"/>
  <sheetViews>
    <sheetView zoomScale="110" zoomScaleNormal="110" zoomScaleSheetLayoutView="100" workbookViewId="0">
      <selection activeCell="K1" sqref="K1"/>
    </sheetView>
  </sheetViews>
  <sheetFormatPr defaultColWidth="9" defaultRowHeight="21"/>
  <cols>
    <col min="1" max="1" width="4.90625" style="1" customWidth="1"/>
    <col min="2" max="2" width="14.26953125" style="1" customWidth="1"/>
    <col min="3" max="3" width="10.453125" style="1" customWidth="1"/>
    <col min="4" max="4" width="8.08984375" style="1" customWidth="1"/>
    <col min="5" max="5" width="6.7265625" style="1" bestFit="1" customWidth="1"/>
    <col min="6" max="6" width="42.08984375" style="1" customWidth="1"/>
    <col min="7" max="7" width="10.81640625" style="1" customWidth="1"/>
    <col min="8" max="8" width="9.36328125" style="24" hidden="1" customWidth="1"/>
    <col min="9" max="9" width="2.7265625" style="1" customWidth="1"/>
    <col min="10" max="16384" width="9" style="1"/>
  </cols>
  <sheetData>
    <row r="1" spans="2:9" ht="26.5" customHeight="1">
      <c r="G1" s="77" t="s">
        <v>46</v>
      </c>
      <c r="H1" s="77"/>
    </row>
    <row r="2" spans="2:9">
      <c r="B2" s="57" t="s">
        <v>0</v>
      </c>
      <c r="C2" s="57"/>
      <c r="D2" s="57"/>
      <c r="E2" s="57"/>
      <c r="F2" s="57"/>
      <c r="G2" s="57"/>
      <c r="H2" s="65"/>
    </row>
    <row r="3" spans="2:9" ht="7.5" customHeight="1">
      <c r="G3" s="54"/>
      <c r="H3" s="44"/>
    </row>
    <row r="4" spans="2:9" ht="18" customHeight="1">
      <c r="B4" s="8" t="s">
        <v>1</v>
      </c>
      <c r="C4" s="28"/>
      <c r="D4" s="28"/>
      <c r="E4" s="26"/>
      <c r="F4" s="50"/>
      <c r="G4" s="3"/>
      <c r="H4" s="4"/>
    </row>
    <row r="5" spans="2:9" ht="18" customHeight="1">
      <c r="B5" s="8" t="s">
        <v>2</v>
      </c>
      <c r="C5" s="51"/>
      <c r="D5" s="52"/>
      <c r="E5" s="52"/>
      <c r="F5" s="53"/>
      <c r="G5" s="46"/>
      <c r="H5" s="78"/>
    </row>
    <row r="6" spans="2:9" ht="18" customHeight="1">
      <c r="B6" s="8" t="s">
        <v>3</v>
      </c>
      <c r="C6" s="10" t="s">
        <v>4</v>
      </c>
      <c r="D6" s="10"/>
      <c r="E6" s="10"/>
      <c r="F6" s="53"/>
      <c r="G6" s="46"/>
      <c r="H6" s="78"/>
    </row>
    <row r="7" spans="2:9" ht="18" customHeight="1">
      <c r="B7" s="8" t="s">
        <v>5</v>
      </c>
      <c r="C7" s="10"/>
      <c r="D7" s="10"/>
      <c r="E7" s="10"/>
      <c r="F7" s="53"/>
      <c r="G7" s="66"/>
      <c r="H7" s="78"/>
    </row>
    <row r="8" spans="2:9">
      <c r="B8" s="48"/>
    </row>
    <row r="9" spans="2:9" ht="39" customHeight="1">
      <c r="B9" s="60" t="s">
        <v>6</v>
      </c>
      <c r="C9" s="60"/>
      <c r="D9" s="60"/>
      <c r="E9" s="62" t="s">
        <v>24</v>
      </c>
      <c r="F9" s="61" t="s">
        <v>23</v>
      </c>
      <c r="G9" s="63" t="s">
        <v>19</v>
      </c>
      <c r="H9" s="74" t="s">
        <v>39</v>
      </c>
      <c r="I9" s="6"/>
    </row>
    <row r="10" spans="2:9" s="23" customFormat="1" ht="72">
      <c r="B10" s="58" t="s">
        <v>25</v>
      </c>
      <c r="C10" s="58"/>
      <c r="D10" s="58"/>
      <c r="E10" s="24">
        <v>25</v>
      </c>
      <c r="F10" s="22" t="s">
        <v>26</v>
      </c>
      <c r="G10" s="59"/>
      <c r="H10" s="24">
        <f>(G10/5)*E10</f>
        <v>0</v>
      </c>
    </row>
    <row r="11" spans="2:9" ht="72">
      <c r="B11" s="40" t="s">
        <v>27</v>
      </c>
      <c r="C11" s="40"/>
      <c r="D11" s="40"/>
      <c r="E11" s="16">
        <v>25</v>
      </c>
      <c r="F11" s="25" t="s">
        <v>28</v>
      </c>
      <c r="G11" s="59"/>
      <c r="H11" s="24">
        <f>(G11/5)*E11</f>
        <v>0</v>
      </c>
    </row>
    <row r="12" spans="2:9" ht="72">
      <c r="B12" s="40" t="s">
        <v>29</v>
      </c>
      <c r="C12" s="40"/>
      <c r="D12" s="40"/>
      <c r="E12" s="16">
        <v>15</v>
      </c>
      <c r="F12" s="25" t="s">
        <v>30</v>
      </c>
      <c r="G12" s="59"/>
      <c r="H12" s="24">
        <f t="shared" ref="H12:H15" si="0">(G12/5)*E12</f>
        <v>0</v>
      </c>
    </row>
    <row r="13" spans="2:9" ht="72">
      <c r="B13" s="41" t="s">
        <v>31</v>
      </c>
      <c r="C13" s="42"/>
      <c r="D13" s="43"/>
      <c r="E13" s="16">
        <v>15</v>
      </c>
      <c r="F13" s="27" t="s">
        <v>32</v>
      </c>
      <c r="G13" s="59"/>
      <c r="H13" s="24">
        <f t="shared" si="0"/>
        <v>0</v>
      </c>
    </row>
    <row r="14" spans="2:9" ht="72">
      <c r="B14" s="41" t="s">
        <v>33</v>
      </c>
      <c r="C14" s="42"/>
      <c r="D14" s="43"/>
      <c r="E14" s="16">
        <v>10</v>
      </c>
      <c r="F14" s="45" t="s">
        <v>34</v>
      </c>
      <c r="G14" s="59"/>
      <c r="H14" s="24">
        <f t="shared" si="0"/>
        <v>0</v>
      </c>
    </row>
    <row r="15" spans="2:9" ht="88.5" customHeight="1">
      <c r="B15" s="90" t="s">
        <v>35</v>
      </c>
      <c r="C15" s="87"/>
      <c r="D15" s="91"/>
      <c r="E15" s="16">
        <v>10</v>
      </c>
      <c r="F15" s="89" t="s">
        <v>36</v>
      </c>
      <c r="G15" s="84"/>
      <c r="H15" s="85">
        <f t="shared" si="0"/>
        <v>0</v>
      </c>
    </row>
    <row r="16" spans="2:9" ht="27.65" customHeight="1">
      <c r="B16" s="79" t="s">
        <v>40</v>
      </c>
      <c r="C16" s="79"/>
      <c r="D16" s="79"/>
      <c r="E16" s="79"/>
      <c r="F16" s="79"/>
      <c r="G16" s="82">
        <f>SUM(G10:G15)</f>
        <v>0</v>
      </c>
      <c r="H16" s="81"/>
    </row>
    <row r="17" spans="2:8" ht="27.65" customHeight="1">
      <c r="B17" s="83"/>
      <c r="C17" s="83"/>
      <c r="D17" s="83"/>
      <c r="E17" s="83"/>
      <c r="F17" s="83" t="s">
        <v>41</v>
      </c>
      <c r="G17" s="82">
        <f>SUM(H10:H15)</f>
        <v>0</v>
      </c>
      <c r="H17" s="80"/>
    </row>
    <row r="18" spans="2:8" ht="14.15" customHeight="1"/>
    <row r="19" spans="2:8" ht="14.25" customHeight="1">
      <c r="B19" s="8" t="s">
        <v>14</v>
      </c>
    </row>
    <row r="20" spans="2:8">
      <c r="B20" s="33"/>
      <c r="C20" s="33"/>
      <c r="D20" s="33"/>
      <c r="E20" s="33"/>
      <c r="F20" s="33"/>
      <c r="G20" s="33"/>
      <c r="H20" s="75"/>
    </row>
    <row r="21" spans="2:8">
      <c r="B21" s="9"/>
      <c r="C21" s="9"/>
      <c r="D21" s="9"/>
      <c r="E21" s="9"/>
      <c r="F21" s="9"/>
      <c r="G21" s="9"/>
      <c r="H21" s="75"/>
    </row>
    <row r="22" spans="2:8" ht="14.25" customHeight="1">
      <c r="B22" s="34"/>
      <c r="C22" s="34"/>
      <c r="D22" s="34"/>
      <c r="E22" s="34"/>
      <c r="F22" s="34"/>
      <c r="G22" s="34"/>
      <c r="H22" s="76"/>
    </row>
    <row r="23" spans="2:8" ht="14.25" customHeight="1">
      <c r="B23" s="12" t="s">
        <v>15</v>
      </c>
      <c r="C23" s="13"/>
      <c r="D23" s="13"/>
      <c r="E23" s="13"/>
      <c r="F23" s="13"/>
      <c r="G23" s="13"/>
      <c r="H23" s="44"/>
    </row>
    <row r="24" spans="2:8">
      <c r="B24" s="9"/>
      <c r="C24" s="9"/>
      <c r="D24" s="9"/>
      <c r="E24" s="9"/>
      <c r="F24" s="9"/>
      <c r="G24" s="9"/>
      <c r="H24" s="75"/>
    </row>
    <row r="25" spans="2:8">
      <c r="B25" s="9"/>
      <c r="C25" s="9"/>
      <c r="D25" s="9"/>
      <c r="E25" s="9"/>
      <c r="F25" s="9"/>
      <c r="G25" s="9"/>
      <c r="H25" s="75"/>
    </row>
    <row r="26" spans="2:8" ht="14.15" customHeight="1"/>
    <row r="27" spans="2:8" ht="14.25" customHeight="1">
      <c r="B27" s="8" t="s">
        <v>16</v>
      </c>
    </row>
    <row r="28" spans="2:8">
      <c r="B28" s="9"/>
      <c r="C28" s="9"/>
      <c r="D28" s="9"/>
      <c r="E28" s="9"/>
      <c r="F28" s="9"/>
      <c r="G28" s="9"/>
      <c r="H28" s="75"/>
    </row>
    <row r="29" spans="2:8">
      <c r="B29" s="9"/>
      <c r="C29" s="9"/>
      <c r="D29" s="9"/>
      <c r="E29" s="9"/>
      <c r="F29" s="9"/>
      <c r="G29" s="9"/>
      <c r="H29" s="75"/>
    </row>
    <row r="30" spans="2:8" ht="13.5" customHeight="1"/>
    <row r="31" spans="2:8" ht="14.25" customHeight="1">
      <c r="B31" s="8" t="s">
        <v>17</v>
      </c>
    </row>
    <row r="32" spans="2:8">
      <c r="B32" s="9"/>
      <c r="C32" s="9"/>
      <c r="D32" s="9"/>
      <c r="E32" s="9"/>
      <c r="F32" s="9"/>
      <c r="G32" s="9"/>
      <c r="H32" s="75"/>
    </row>
    <row r="33" spans="2:10">
      <c r="B33" s="9"/>
      <c r="C33" s="9"/>
      <c r="D33" s="9"/>
      <c r="E33" s="9"/>
      <c r="F33" s="9"/>
      <c r="G33" s="9"/>
      <c r="H33" s="75"/>
    </row>
    <row r="34" spans="2:10" ht="13.5" customHeight="1"/>
    <row r="35" spans="2:10" ht="14.25" customHeight="1">
      <c r="B35" s="8" t="s">
        <v>18</v>
      </c>
      <c r="D35" s="8" t="s">
        <v>22</v>
      </c>
      <c r="E35" s="8"/>
      <c r="F35" s="8" t="s">
        <v>37</v>
      </c>
    </row>
    <row r="36" spans="2:10" ht="14.25" customHeight="1"/>
    <row r="37" spans="2:10" ht="21.5" thickBot="1">
      <c r="F37" s="67" t="s">
        <v>20</v>
      </c>
      <c r="G37" s="68"/>
      <c r="H37" s="44"/>
      <c r="I37" s="54"/>
      <c r="J37" s="54"/>
    </row>
    <row r="38" spans="2:10" ht="21.5" thickBot="1">
      <c r="B38" s="2"/>
      <c r="C38" s="24"/>
      <c r="D38" s="24"/>
      <c r="E38" s="24"/>
      <c r="F38" s="64" t="s">
        <v>21</v>
      </c>
      <c r="G38" s="70"/>
      <c r="H38" s="44"/>
      <c r="I38" s="54"/>
      <c r="J38" s="54"/>
    </row>
    <row r="39" spans="2:10">
      <c r="D39" s="14"/>
      <c r="E39" s="14"/>
      <c r="F39" s="14"/>
      <c r="G39" s="69"/>
      <c r="H39" s="44"/>
    </row>
  </sheetData>
  <mergeCells count="13">
    <mergeCell ref="B22:G22"/>
    <mergeCell ref="B12:D12"/>
    <mergeCell ref="B13:D13"/>
    <mergeCell ref="B14:D14"/>
    <mergeCell ref="B15:D15"/>
    <mergeCell ref="B16:F16"/>
    <mergeCell ref="B20:G20"/>
    <mergeCell ref="G1:H1"/>
    <mergeCell ref="B2:G2"/>
    <mergeCell ref="C4:D4"/>
    <mergeCell ref="B9:D9"/>
    <mergeCell ref="B10:D10"/>
    <mergeCell ref="B11:D11"/>
  </mergeCells>
  <pageMargins left="0.78740157480314965" right="0.31496062992125984" top="0.31496062992125984" bottom="0.31496062992125984" header="0.31496062992125984" footer="0.31496062992125984"/>
  <pageSetup paperSize="9" scale="103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193" r:id="rId4" name="Check Box 1">
              <controlPr defaultSize="0" autoFill="0" autoLine="0" autoPict="0">
                <anchor moveWithCells="1">
                  <from>
                    <xdr:col>3</xdr:col>
                    <xdr:colOff>69850</xdr:colOff>
                    <xdr:row>33</xdr:row>
                    <xdr:rowOff>101600</xdr:rowOff>
                  </from>
                  <to>
                    <xdr:col>3</xdr:col>
                    <xdr:colOff>342900</xdr:colOff>
                    <xdr:row>35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4" r:id="rId5" name="Check Box 2">
              <controlPr defaultSize="0" autoFill="0" autoLine="0" autoPict="0">
                <anchor moveWithCells="1">
                  <from>
                    <xdr:col>4</xdr:col>
                    <xdr:colOff>463550</xdr:colOff>
                    <xdr:row>33</xdr:row>
                    <xdr:rowOff>101600</xdr:rowOff>
                  </from>
                  <to>
                    <xdr:col>5</xdr:col>
                    <xdr:colOff>266700</xdr:colOff>
                    <xdr:row>35</xdr:row>
                    <xdr:rowOff>63500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A645799-70EA-4506-A6CF-47E80EB37204}">
          <x14:formula1>
            <xm:f>data!$B$2:$B$6</xm:f>
          </x14:formula1>
          <xm:sqref>G10:G15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8C79B-92BE-46CD-BB09-E3CEDF162190}">
  <sheetPr>
    <tabColor theme="9" tint="0.79998168889431442"/>
  </sheetPr>
  <dimension ref="B1:J39"/>
  <sheetViews>
    <sheetView tabSelected="1" topLeftCell="A10" zoomScale="110" zoomScaleNormal="110" zoomScaleSheetLayoutView="100" workbookViewId="0">
      <selection activeCell="L2" sqref="L2"/>
    </sheetView>
  </sheetViews>
  <sheetFormatPr defaultColWidth="9" defaultRowHeight="21"/>
  <cols>
    <col min="1" max="1" width="4.90625" style="1" customWidth="1"/>
    <col min="2" max="2" width="14.26953125" style="1" customWidth="1"/>
    <col min="3" max="3" width="10.453125" style="1" customWidth="1"/>
    <col min="4" max="4" width="8.08984375" style="1" customWidth="1"/>
    <col min="5" max="5" width="6.7265625" style="1" bestFit="1" customWidth="1"/>
    <col min="6" max="6" width="42.08984375" style="1" customWidth="1"/>
    <col min="7" max="7" width="10.81640625" style="1" customWidth="1"/>
    <col min="8" max="8" width="9.36328125" style="24" hidden="1" customWidth="1"/>
    <col min="9" max="9" width="2.7265625" style="1" customWidth="1"/>
    <col min="10" max="16384" width="9" style="1"/>
  </cols>
  <sheetData>
    <row r="1" spans="2:9" ht="26.5" customHeight="1">
      <c r="G1" s="77" t="s">
        <v>12</v>
      </c>
      <c r="H1" s="77"/>
    </row>
    <row r="2" spans="2:9">
      <c r="B2" s="57" t="s">
        <v>0</v>
      </c>
      <c r="C2" s="57"/>
      <c r="D2" s="57"/>
      <c r="E2" s="57"/>
      <c r="F2" s="57"/>
      <c r="G2" s="57"/>
      <c r="H2" s="65"/>
    </row>
    <row r="3" spans="2:9" ht="7.5" customHeight="1">
      <c r="G3" s="54"/>
      <c r="H3" s="44"/>
    </row>
    <row r="4" spans="2:9" ht="18" customHeight="1">
      <c r="B4" s="8" t="s">
        <v>1</v>
      </c>
      <c r="C4" s="28"/>
      <c r="D4" s="28"/>
      <c r="E4" s="26"/>
      <c r="F4" s="50"/>
      <c r="G4" s="3"/>
      <c r="H4" s="4"/>
    </row>
    <row r="5" spans="2:9" ht="18" customHeight="1">
      <c r="B5" s="8" t="s">
        <v>2</v>
      </c>
      <c r="C5" s="51"/>
      <c r="D5" s="52"/>
      <c r="E5" s="52"/>
      <c r="F5" s="53"/>
      <c r="G5" s="46"/>
      <c r="H5" s="78"/>
    </row>
    <row r="6" spans="2:9" ht="18" customHeight="1">
      <c r="B6" s="8" t="s">
        <v>3</v>
      </c>
      <c r="C6" s="10" t="s">
        <v>4</v>
      </c>
      <c r="D6" s="10"/>
      <c r="E6" s="10"/>
      <c r="F6" s="53"/>
      <c r="G6" s="46"/>
      <c r="H6" s="78"/>
    </row>
    <row r="7" spans="2:9" ht="18" customHeight="1">
      <c r="B7" s="8" t="s">
        <v>5</v>
      </c>
      <c r="C7" s="10"/>
      <c r="D7" s="10"/>
      <c r="E7" s="10"/>
      <c r="F7" s="53"/>
      <c r="G7" s="66"/>
      <c r="H7" s="78"/>
    </row>
    <row r="8" spans="2:9">
      <c r="B8" s="48"/>
    </row>
    <row r="9" spans="2:9" ht="39" customHeight="1">
      <c r="B9" s="60" t="s">
        <v>6</v>
      </c>
      <c r="C9" s="60"/>
      <c r="D9" s="60"/>
      <c r="E9" s="62" t="s">
        <v>24</v>
      </c>
      <c r="F9" s="61" t="s">
        <v>23</v>
      </c>
      <c r="G9" s="63" t="s">
        <v>19</v>
      </c>
      <c r="H9" s="74" t="s">
        <v>39</v>
      </c>
      <c r="I9" s="6"/>
    </row>
    <row r="10" spans="2:9" s="23" customFormat="1" ht="72">
      <c r="B10" s="58" t="s">
        <v>25</v>
      </c>
      <c r="C10" s="58"/>
      <c r="D10" s="58"/>
      <c r="E10" s="24">
        <v>25</v>
      </c>
      <c r="F10" s="22" t="s">
        <v>26</v>
      </c>
      <c r="G10" s="59"/>
      <c r="H10" s="24">
        <f>(G10/5)*E10</f>
        <v>0</v>
      </c>
    </row>
    <row r="11" spans="2:9" ht="72">
      <c r="B11" s="40" t="s">
        <v>27</v>
      </c>
      <c r="C11" s="40"/>
      <c r="D11" s="40"/>
      <c r="E11" s="16">
        <v>25</v>
      </c>
      <c r="F11" s="25" t="s">
        <v>28</v>
      </c>
      <c r="G11" s="59"/>
      <c r="H11" s="24">
        <f>(G11/5)*E11</f>
        <v>0</v>
      </c>
    </row>
    <row r="12" spans="2:9" ht="72">
      <c r="B12" s="40" t="s">
        <v>29</v>
      </c>
      <c r="C12" s="40"/>
      <c r="D12" s="40"/>
      <c r="E12" s="16">
        <v>15</v>
      </c>
      <c r="F12" s="25" t="s">
        <v>30</v>
      </c>
      <c r="G12" s="59"/>
      <c r="H12" s="24">
        <f t="shared" ref="H12:H15" si="0">(G12/5)*E12</f>
        <v>0</v>
      </c>
    </row>
    <row r="13" spans="2:9" ht="72">
      <c r="B13" s="41" t="s">
        <v>31</v>
      </c>
      <c r="C13" s="42"/>
      <c r="D13" s="43"/>
      <c r="E13" s="16">
        <v>15</v>
      </c>
      <c r="F13" s="27" t="s">
        <v>32</v>
      </c>
      <c r="G13" s="59"/>
      <c r="H13" s="24">
        <f t="shared" si="0"/>
        <v>0</v>
      </c>
    </row>
    <row r="14" spans="2:9" ht="72">
      <c r="B14" s="41" t="s">
        <v>33</v>
      </c>
      <c r="C14" s="42"/>
      <c r="D14" s="43"/>
      <c r="E14" s="16">
        <v>10</v>
      </c>
      <c r="F14" s="45" t="s">
        <v>34</v>
      </c>
      <c r="G14" s="59"/>
      <c r="H14" s="24">
        <f t="shared" si="0"/>
        <v>0</v>
      </c>
    </row>
    <row r="15" spans="2:9" ht="88.5" customHeight="1">
      <c r="B15" s="90" t="s">
        <v>35</v>
      </c>
      <c r="C15" s="87"/>
      <c r="D15" s="91"/>
      <c r="E15" s="16">
        <v>10</v>
      </c>
      <c r="F15" s="89" t="s">
        <v>36</v>
      </c>
      <c r="G15" s="84"/>
      <c r="H15" s="85">
        <f t="shared" si="0"/>
        <v>0</v>
      </c>
    </row>
    <row r="16" spans="2:9" ht="27.65" customHeight="1">
      <c r="B16" s="79" t="s">
        <v>40</v>
      </c>
      <c r="C16" s="79"/>
      <c r="D16" s="79"/>
      <c r="E16" s="79"/>
      <c r="F16" s="79"/>
      <c r="G16" s="82">
        <f>SUM(G10:G15)</f>
        <v>0</v>
      </c>
      <c r="H16" s="81"/>
    </row>
    <row r="17" spans="2:8" ht="27.65" customHeight="1">
      <c r="B17" s="83"/>
      <c r="C17" s="83"/>
      <c r="D17" s="83"/>
      <c r="E17" s="83"/>
      <c r="F17" s="83" t="s">
        <v>41</v>
      </c>
      <c r="G17" s="82">
        <f>SUM(H10:H15)</f>
        <v>0</v>
      </c>
      <c r="H17" s="80"/>
    </row>
    <row r="18" spans="2:8" ht="14.15" customHeight="1"/>
    <row r="19" spans="2:8" ht="14.25" customHeight="1">
      <c r="B19" s="8" t="s">
        <v>14</v>
      </c>
    </row>
    <row r="20" spans="2:8">
      <c r="B20" s="33"/>
      <c r="C20" s="33"/>
      <c r="D20" s="33"/>
      <c r="E20" s="33"/>
      <c r="F20" s="33"/>
      <c r="G20" s="33"/>
      <c r="H20" s="75"/>
    </row>
    <row r="21" spans="2:8">
      <c r="B21" s="9"/>
      <c r="C21" s="9"/>
      <c r="D21" s="9"/>
      <c r="E21" s="9"/>
      <c r="F21" s="9"/>
      <c r="G21" s="9"/>
      <c r="H21" s="75"/>
    </row>
    <row r="22" spans="2:8" ht="14.25" customHeight="1">
      <c r="B22" s="34"/>
      <c r="C22" s="34"/>
      <c r="D22" s="34"/>
      <c r="E22" s="34"/>
      <c r="F22" s="34"/>
      <c r="G22" s="34"/>
      <c r="H22" s="76"/>
    </row>
    <row r="23" spans="2:8" ht="14.25" customHeight="1">
      <c r="B23" s="12" t="s">
        <v>15</v>
      </c>
      <c r="C23" s="13"/>
      <c r="D23" s="13"/>
      <c r="E23" s="13"/>
      <c r="F23" s="13"/>
      <c r="G23" s="13"/>
      <c r="H23" s="44"/>
    </row>
    <row r="24" spans="2:8">
      <c r="B24" s="9"/>
      <c r="C24" s="9"/>
      <c r="D24" s="9"/>
      <c r="E24" s="9"/>
      <c r="F24" s="9"/>
      <c r="G24" s="9"/>
      <c r="H24" s="75"/>
    </row>
    <row r="25" spans="2:8">
      <c r="B25" s="9"/>
      <c r="C25" s="9"/>
      <c r="D25" s="9"/>
      <c r="E25" s="9"/>
      <c r="F25" s="9"/>
      <c r="G25" s="9"/>
      <c r="H25" s="75"/>
    </row>
    <row r="26" spans="2:8" ht="14.15" customHeight="1"/>
    <row r="27" spans="2:8" ht="14.25" customHeight="1">
      <c r="B27" s="8" t="s">
        <v>16</v>
      </c>
    </row>
    <row r="28" spans="2:8">
      <c r="B28" s="9"/>
      <c r="C28" s="9"/>
      <c r="D28" s="9"/>
      <c r="E28" s="9"/>
      <c r="F28" s="9"/>
      <c r="G28" s="9"/>
      <c r="H28" s="75"/>
    </row>
    <row r="29" spans="2:8">
      <c r="B29" s="9"/>
      <c r="C29" s="9"/>
      <c r="D29" s="9"/>
      <c r="E29" s="9"/>
      <c r="F29" s="9"/>
      <c r="G29" s="9"/>
      <c r="H29" s="75"/>
    </row>
    <row r="30" spans="2:8" ht="13.5" customHeight="1"/>
    <row r="31" spans="2:8" ht="14.25" customHeight="1">
      <c r="B31" s="8" t="s">
        <v>17</v>
      </c>
    </row>
    <row r="32" spans="2:8">
      <c r="B32" s="9"/>
      <c r="C32" s="9"/>
      <c r="D32" s="9"/>
      <c r="E32" s="9"/>
      <c r="F32" s="9"/>
      <c r="G32" s="9"/>
      <c r="H32" s="75"/>
    </row>
    <row r="33" spans="2:10">
      <c r="B33" s="9"/>
      <c r="C33" s="9"/>
      <c r="D33" s="9"/>
      <c r="E33" s="9"/>
      <c r="F33" s="9"/>
      <c r="G33" s="9"/>
      <c r="H33" s="75"/>
    </row>
    <row r="34" spans="2:10" ht="13.5" customHeight="1"/>
    <row r="35" spans="2:10" ht="14.25" customHeight="1">
      <c r="B35" s="8" t="s">
        <v>18</v>
      </c>
      <c r="D35" s="8" t="s">
        <v>22</v>
      </c>
      <c r="E35" s="8"/>
      <c r="F35" s="8" t="s">
        <v>37</v>
      </c>
    </row>
    <row r="36" spans="2:10" ht="14.25" customHeight="1"/>
    <row r="37" spans="2:10" ht="21.5" thickBot="1">
      <c r="F37" s="67" t="s">
        <v>20</v>
      </c>
      <c r="G37" s="68"/>
      <c r="H37" s="44"/>
      <c r="I37" s="54"/>
      <c r="J37" s="54"/>
    </row>
    <row r="38" spans="2:10" ht="21.5" thickBot="1">
      <c r="B38" s="2"/>
      <c r="C38" s="24"/>
      <c r="D38" s="24"/>
      <c r="E38" s="24"/>
      <c r="F38" s="64" t="s">
        <v>21</v>
      </c>
      <c r="G38" s="70"/>
      <c r="H38" s="44"/>
      <c r="I38" s="54"/>
      <c r="J38" s="54"/>
    </row>
    <row r="39" spans="2:10">
      <c r="D39" s="14"/>
      <c r="E39" s="14"/>
      <c r="F39" s="14"/>
      <c r="G39" s="69"/>
      <c r="H39" s="44"/>
    </row>
  </sheetData>
  <mergeCells count="13">
    <mergeCell ref="B22:G22"/>
    <mergeCell ref="B12:D12"/>
    <mergeCell ref="B13:D13"/>
    <mergeCell ref="B14:D14"/>
    <mergeCell ref="B15:D15"/>
    <mergeCell ref="B16:F16"/>
    <mergeCell ref="B20:G20"/>
    <mergeCell ref="G1:H1"/>
    <mergeCell ref="B2:G2"/>
    <mergeCell ref="C4:D4"/>
    <mergeCell ref="B9:D9"/>
    <mergeCell ref="B10:D10"/>
    <mergeCell ref="B11:D11"/>
  </mergeCells>
  <pageMargins left="0.78740157480314965" right="0.31496062992125984" top="0.31496062992125984" bottom="0.31496062992125984" header="0.31496062992125984" footer="0.31496062992125984"/>
  <pageSetup paperSize="9" scale="103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7169" r:id="rId4" name="Check Box 1">
              <controlPr defaultSize="0" autoFill="0" autoLine="0" autoPict="0">
                <anchor moveWithCells="1">
                  <from>
                    <xdr:col>3</xdr:col>
                    <xdr:colOff>69850</xdr:colOff>
                    <xdr:row>33</xdr:row>
                    <xdr:rowOff>101600</xdr:rowOff>
                  </from>
                  <to>
                    <xdr:col>3</xdr:col>
                    <xdr:colOff>342900</xdr:colOff>
                    <xdr:row>35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0" r:id="rId5" name="Check Box 2">
              <controlPr defaultSize="0" autoFill="0" autoLine="0" autoPict="0">
                <anchor moveWithCells="1">
                  <from>
                    <xdr:col>4</xdr:col>
                    <xdr:colOff>463550</xdr:colOff>
                    <xdr:row>33</xdr:row>
                    <xdr:rowOff>101600</xdr:rowOff>
                  </from>
                  <to>
                    <xdr:col>5</xdr:col>
                    <xdr:colOff>266700</xdr:colOff>
                    <xdr:row>35</xdr:row>
                    <xdr:rowOff>63500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3318241-61A1-41C4-BA83-15D72718F508}">
          <x14:formula1>
            <xm:f>data!$B$2:$B$6</xm:f>
          </x14:formula1>
          <xm:sqref>G10:G15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1FF10-70A7-4F20-8EC4-D8D9885C3B3C}">
  <dimension ref="B2:B6"/>
  <sheetViews>
    <sheetView workbookViewId="0">
      <selection activeCell="F15" sqref="F15"/>
    </sheetView>
  </sheetViews>
  <sheetFormatPr defaultRowHeight="21"/>
  <cols>
    <col min="2" max="2" width="8.7265625" style="73"/>
  </cols>
  <sheetData>
    <row r="2" spans="2:2">
      <c r="B2" s="73">
        <v>5</v>
      </c>
    </row>
    <row r="3" spans="2:2">
      <c r="B3" s="73">
        <v>4</v>
      </c>
    </row>
    <row r="4" spans="2:2">
      <c r="B4" s="73">
        <v>3</v>
      </c>
    </row>
    <row r="5" spans="2:2">
      <c r="B5" s="73">
        <v>2</v>
      </c>
    </row>
    <row r="6" spans="2:2">
      <c r="B6" s="73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1755C981BD86B4A950C40FACF9BE1DF" ma:contentTypeVersion="15" ma:contentTypeDescription="Create a new document." ma:contentTypeScope="" ma:versionID="9516aa0e2bc980ff57c2f4ab4206afb5">
  <xsd:schema xmlns:xsd="http://www.w3.org/2001/XMLSchema" xmlns:xs="http://www.w3.org/2001/XMLSchema" xmlns:p="http://schemas.microsoft.com/office/2006/metadata/properties" xmlns:ns2="6b059ccd-33fe-4c06-98a1-37feb2d8dc27" xmlns:ns3="bb5ed1f1-e556-4784-9d20-9dada7517e09" targetNamespace="http://schemas.microsoft.com/office/2006/metadata/properties" ma:root="true" ma:fieldsID="c8e82097105b68235537c8ee685c790b" ns2:_="" ns3:_="">
    <xsd:import namespace="6b059ccd-33fe-4c06-98a1-37feb2d8dc27"/>
    <xsd:import namespace="bb5ed1f1-e556-4784-9d20-9dada7517e09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lcf76f155ced4ddcb4097134ff3c332f" minOccurs="0"/>
                <xsd:element ref="ns3:MediaServiceDateTaken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3:MediaLengthInSecond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059ccd-33fe-4c06-98a1-37feb2d8dc2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5ed1f1-e556-4784-9d20-9dada7517e0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4f48ed1c-cce2-42e9-bf64-363c7063fa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b5ed1f1-e556-4784-9d20-9dada7517e0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BCF4A96-BB03-4905-A451-BA37FB8882E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47E282D-480D-4604-B38B-65C81A9F722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b059ccd-33fe-4c06-98a1-37feb2d8dc27"/>
    <ds:schemaRef ds:uri="bb5ed1f1-e556-4784-9d20-9dada7517e0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634C207-4544-4032-9047-9B38D1E06009}">
  <ds:schemaRefs>
    <ds:schemaRef ds:uri="http://schemas.microsoft.com/office/2006/metadata/properties"/>
    <ds:schemaRef ds:uri="http://schemas.microsoft.com/office/infopath/2007/PartnerControls"/>
    <ds:schemaRef ds:uri="bb5ed1f1-e556-4784-9d20-9dada7517e0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6</vt:i4>
      </vt:variant>
    </vt:vector>
  </HeadingPairs>
  <TitlesOfParts>
    <vt:vector size="13" baseType="lpstr">
      <vt:lpstr>Summary</vt:lpstr>
      <vt:lpstr>EM</vt:lpstr>
      <vt:lpstr>MD-BPT</vt:lpstr>
      <vt:lpstr>MD TARCO</vt:lpstr>
      <vt:lpstr>MD-BPS</vt:lpstr>
      <vt:lpstr>HZ</vt:lpstr>
      <vt:lpstr>data</vt:lpstr>
      <vt:lpstr>EM!Print_Area</vt:lpstr>
      <vt:lpstr>HZ!Print_Area</vt:lpstr>
      <vt:lpstr>'MD TARCO'!Print_Area</vt:lpstr>
      <vt:lpstr>'MD-BPS'!Print_Area</vt:lpstr>
      <vt:lpstr>'MD-BPT'!Print_Area</vt:lpstr>
      <vt:lpstr>Summary!Print_Area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Prapavadee Kanasuwan</dc:creator>
  <cp:keywords/>
  <dc:description/>
  <cp:lastModifiedBy>Prapavadee Kanasuwan</cp:lastModifiedBy>
  <cp:revision/>
  <dcterms:created xsi:type="dcterms:W3CDTF">2025-10-02T06:53:37Z</dcterms:created>
  <dcterms:modified xsi:type="dcterms:W3CDTF">2026-08-17T03:35:51Z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0x01010041755C981BD86B4A950C40FACF9BE1DF</vt:lpwstr>
  </property>
  <property fmtid="{D5CDD505-2E9C-101B-9397-08002B2CF9AE}" pid="3" name="MediaServiceImageTags">
    <vt:lpwstr/>
  </property>
</Properties>
</file>